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andhi006\source\repos\Solution1\sap-itsm-dev\Flask_api\dummydata\mc_sd_2026\"/>
    </mc:Choice>
  </mc:AlternateContent>
  <xr:revisionPtr revIDLastSave="0" documentId="13_ncr:1_{6A0587CF-9DDC-40F1-A359-68FCB00544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Sheet1!$A$1:$OW$20</definedName>
  </definedNames>
  <calcPr calcId="0"/>
</workbook>
</file>

<file path=xl/calcChain.xml><?xml version="1.0" encoding="utf-8"?>
<calcChain xmlns="http://schemas.openxmlformats.org/spreadsheetml/2006/main">
  <c r="R317" i="1" l="1"/>
  <c r="S317" i="1" s="1"/>
  <c r="R316" i="1"/>
  <c r="S316" i="1" s="1"/>
  <c r="S315" i="1"/>
  <c r="R315" i="1"/>
  <c r="S314" i="1"/>
  <c r="R314" i="1"/>
  <c r="R313" i="1"/>
  <c r="S313" i="1" s="1"/>
  <c r="R312" i="1"/>
  <c r="S312" i="1" s="1"/>
  <c r="R311" i="1"/>
  <c r="S311" i="1" s="1"/>
  <c r="R310" i="1"/>
  <c r="S310" i="1" s="1"/>
  <c r="R309" i="1"/>
  <c r="S309" i="1" s="1"/>
  <c r="R308" i="1"/>
  <c r="S308" i="1" s="1"/>
  <c r="R307" i="1"/>
  <c r="S307" i="1" s="1"/>
  <c r="R306" i="1"/>
  <c r="S306" i="1" s="1"/>
  <c r="R305" i="1"/>
  <c r="S305" i="1" s="1"/>
  <c r="R304" i="1"/>
  <c r="S304" i="1" s="1"/>
  <c r="R303" i="1"/>
  <c r="S303" i="1" s="1"/>
  <c r="R302" i="1"/>
  <c r="S302" i="1" s="1"/>
  <c r="R301" i="1"/>
  <c r="S301" i="1" s="1"/>
  <c r="R300" i="1"/>
  <c r="S300" i="1" s="1"/>
  <c r="S299" i="1"/>
  <c r="R299" i="1"/>
  <c r="R298" i="1"/>
  <c r="S298" i="1" s="1"/>
  <c r="R297" i="1"/>
  <c r="S297" i="1" s="1"/>
  <c r="R296" i="1"/>
  <c r="S296" i="1" s="1"/>
  <c r="R295" i="1"/>
  <c r="S295" i="1" s="1"/>
  <c r="R294" i="1"/>
  <c r="S294" i="1" s="1"/>
  <c r="R293" i="1"/>
  <c r="S293" i="1" s="1"/>
  <c r="R292" i="1"/>
  <c r="S292" i="1" s="1"/>
  <c r="R291" i="1"/>
  <c r="S291" i="1" s="1"/>
  <c r="R290" i="1"/>
  <c r="S290" i="1" s="1"/>
  <c r="R289" i="1"/>
  <c r="S289" i="1" s="1"/>
  <c r="R288" i="1"/>
  <c r="S288" i="1" s="1"/>
  <c r="R287" i="1"/>
  <c r="S287" i="1" s="1"/>
  <c r="R286" i="1"/>
  <c r="S286" i="1" s="1"/>
  <c r="R285" i="1"/>
  <c r="S285" i="1" s="1"/>
  <c r="R284" i="1"/>
  <c r="S284" i="1" s="1"/>
  <c r="R283" i="1"/>
  <c r="S283" i="1" s="1"/>
  <c r="R282" i="1"/>
  <c r="S282" i="1" s="1"/>
  <c r="R281" i="1"/>
  <c r="S281" i="1" s="1"/>
  <c r="R280" i="1"/>
  <c r="S280" i="1" s="1"/>
  <c r="R279" i="1"/>
  <c r="S279" i="1" s="1"/>
  <c r="S278" i="1"/>
  <c r="R278" i="1"/>
  <c r="R277" i="1"/>
  <c r="S277" i="1" s="1"/>
  <c r="R276" i="1"/>
  <c r="S276" i="1" s="1"/>
  <c r="R275" i="1"/>
  <c r="S275" i="1" s="1"/>
  <c r="R274" i="1"/>
  <c r="S274" i="1" s="1"/>
  <c r="R273" i="1"/>
  <c r="S273" i="1" s="1"/>
  <c r="R272" i="1"/>
  <c r="S272" i="1" s="1"/>
  <c r="R271" i="1"/>
  <c r="S271" i="1" s="1"/>
  <c r="R270" i="1"/>
  <c r="S270" i="1" s="1"/>
  <c r="R269" i="1"/>
  <c r="S269" i="1" s="1"/>
  <c r="R268" i="1"/>
  <c r="S268" i="1" s="1"/>
  <c r="S267" i="1"/>
  <c r="R267" i="1"/>
  <c r="S266" i="1"/>
  <c r="R266" i="1"/>
  <c r="R265" i="1"/>
  <c r="S265" i="1" s="1"/>
  <c r="R264" i="1"/>
  <c r="S264" i="1" s="1"/>
  <c r="R263" i="1"/>
  <c r="S263" i="1" s="1"/>
  <c r="R262" i="1"/>
  <c r="S262" i="1" s="1"/>
  <c r="R261" i="1"/>
  <c r="S261" i="1" s="1"/>
  <c r="R260" i="1"/>
  <c r="S260" i="1" s="1"/>
  <c r="R259" i="1"/>
  <c r="S259" i="1" s="1"/>
  <c r="R258" i="1"/>
  <c r="S258" i="1" s="1"/>
  <c r="R257" i="1"/>
  <c r="S257" i="1" s="1"/>
  <c r="R256" i="1"/>
  <c r="S256" i="1" s="1"/>
  <c r="R255" i="1"/>
  <c r="S255" i="1" s="1"/>
  <c r="R254" i="1"/>
  <c r="S254" i="1" s="1"/>
  <c r="R253" i="1"/>
  <c r="S253" i="1" s="1"/>
  <c r="R252" i="1"/>
  <c r="S252" i="1" s="1"/>
  <c r="R251" i="1"/>
  <c r="S251" i="1" s="1"/>
  <c r="R250" i="1"/>
  <c r="S250" i="1" s="1"/>
  <c r="R249" i="1"/>
  <c r="S249" i="1" s="1"/>
  <c r="R248" i="1"/>
  <c r="S248" i="1" s="1"/>
  <c r="R247" i="1"/>
  <c r="S247" i="1" s="1"/>
  <c r="R246" i="1"/>
  <c r="S246" i="1" s="1"/>
  <c r="R245" i="1"/>
  <c r="S245" i="1" s="1"/>
  <c r="R244" i="1"/>
  <c r="S244" i="1" s="1"/>
  <c r="S243" i="1"/>
  <c r="R243" i="1"/>
  <c r="S242" i="1"/>
  <c r="R242" i="1"/>
  <c r="R241" i="1"/>
  <c r="S241" i="1" s="1"/>
  <c r="R240" i="1"/>
  <c r="S240" i="1" s="1"/>
  <c r="R239" i="1"/>
  <c r="S239" i="1" s="1"/>
  <c r="R238" i="1"/>
  <c r="S238" i="1" s="1"/>
  <c r="R237" i="1"/>
  <c r="S237" i="1" s="1"/>
  <c r="R236" i="1"/>
  <c r="S236" i="1" s="1"/>
  <c r="R235" i="1"/>
  <c r="S235" i="1" s="1"/>
  <c r="R234" i="1"/>
  <c r="S234" i="1" s="1"/>
  <c r="R233" i="1"/>
  <c r="S233" i="1" s="1"/>
  <c r="R232" i="1"/>
  <c r="S232" i="1" s="1"/>
  <c r="R231" i="1"/>
  <c r="S231" i="1" s="1"/>
  <c r="R230" i="1"/>
  <c r="S230" i="1" s="1"/>
  <c r="R229" i="1"/>
  <c r="S229" i="1" s="1"/>
  <c r="R228" i="1"/>
  <c r="S228" i="1" s="1"/>
  <c r="S227" i="1"/>
  <c r="R227" i="1"/>
  <c r="R226" i="1"/>
  <c r="S226" i="1" s="1"/>
  <c r="R225" i="1"/>
  <c r="S225" i="1" s="1"/>
  <c r="R224" i="1"/>
  <c r="S224" i="1" s="1"/>
  <c r="R223" i="1"/>
  <c r="S223" i="1" s="1"/>
  <c r="R222" i="1"/>
  <c r="S222" i="1" s="1"/>
  <c r="R221" i="1"/>
  <c r="S221" i="1" s="1"/>
  <c r="R220" i="1"/>
  <c r="S220" i="1" s="1"/>
  <c r="R219" i="1"/>
  <c r="S219" i="1" s="1"/>
  <c r="R218" i="1"/>
  <c r="S218" i="1" s="1"/>
  <c r="R217" i="1"/>
  <c r="S217" i="1" s="1"/>
  <c r="R216" i="1"/>
  <c r="S216" i="1" s="1"/>
  <c r="R215" i="1"/>
  <c r="S215" i="1" s="1"/>
  <c r="R214" i="1"/>
  <c r="S214" i="1" s="1"/>
  <c r="R213" i="1"/>
  <c r="S213" i="1" s="1"/>
  <c r="R212" i="1"/>
  <c r="S212" i="1" s="1"/>
  <c r="R211" i="1"/>
  <c r="S211" i="1" s="1"/>
  <c r="R210" i="1"/>
  <c r="S210" i="1" s="1"/>
  <c r="R209" i="1"/>
  <c r="S209" i="1" s="1"/>
  <c r="R208" i="1"/>
  <c r="S208" i="1" s="1"/>
  <c r="R207" i="1"/>
  <c r="S207" i="1" s="1"/>
  <c r="S206" i="1"/>
  <c r="R206" i="1"/>
  <c r="R205" i="1"/>
  <c r="S205" i="1" s="1"/>
  <c r="R204" i="1"/>
  <c r="S204" i="1" s="1"/>
  <c r="R203" i="1"/>
  <c r="S203" i="1" s="1"/>
  <c r="R202" i="1"/>
  <c r="S202" i="1" s="1"/>
  <c r="R201" i="1"/>
  <c r="S201" i="1" s="1"/>
  <c r="R200" i="1"/>
  <c r="S200" i="1" s="1"/>
  <c r="R199" i="1"/>
  <c r="S199" i="1" s="1"/>
  <c r="R198" i="1"/>
  <c r="S198" i="1" s="1"/>
  <c r="R197" i="1"/>
  <c r="S197" i="1" s="1"/>
  <c r="R196" i="1"/>
  <c r="S196" i="1" s="1"/>
  <c r="S195" i="1"/>
  <c r="R195" i="1"/>
  <c r="S194" i="1"/>
  <c r="R194" i="1"/>
  <c r="R193" i="1"/>
  <c r="S193" i="1" s="1"/>
  <c r="R192" i="1"/>
  <c r="S192" i="1" s="1"/>
  <c r="R191" i="1"/>
  <c r="S191" i="1" s="1"/>
  <c r="R190" i="1"/>
  <c r="S190" i="1" s="1"/>
  <c r="R189" i="1"/>
  <c r="S189" i="1" s="1"/>
  <c r="R188" i="1"/>
  <c r="S188" i="1" s="1"/>
  <c r="R187" i="1"/>
  <c r="S187" i="1" s="1"/>
  <c r="R186" i="1"/>
  <c r="S186" i="1" s="1"/>
  <c r="R185" i="1"/>
  <c r="S185" i="1" s="1"/>
  <c r="R184" i="1"/>
  <c r="S184" i="1" s="1"/>
  <c r="R183" i="1"/>
  <c r="S183" i="1" s="1"/>
  <c r="R182" i="1"/>
  <c r="S182" i="1" s="1"/>
  <c r="R181" i="1"/>
  <c r="S181" i="1" s="1"/>
  <c r="R180" i="1"/>
  <c r="S180" i="1" s="1"/>
  <c r="R179" i="1"/>
  <c r="S179" i="1" s="1"/>
  <c r="R178" i="1"/>
  <c r="S178" i="1" s="1"/>
  <c r="R177" i="1"/>
  <c r="S177" i="1" s="1"/>
  <c r="R176" i="1"/>
  <c r="S176" i="1" s="1"/>
  <c r="R175" i="1"/>
  <c r="S175" i="1" s="1"/>
  <c r="R174" i="1"/>
  <c r="S174" i="1" s="1"/>
  <c r="R173" i="1"/>
  <c r="S173" i="1" s="1"/>
  <c r="R172" i="1"/>
  <c r="S172" i="1" s="1"/>
  <c r="S171" i="1"/>
  <c r="R171" i="1"/>
  <c r="S170" i="1"/>
  <c r="R170" i="1"/>
  <c r="R169" i="1"/>
  <c r="S169" i="1" s="1"/>
  <c r="R168" i="1"/>
  <c r="S168" i="1" s="1"/>
  <c r="R167" i="1"/>
  <c r="S167" i="1" s="1"/>
  <c r="R166" i="1"/>
  <c r="S166" i="1" s="1"/>
  <c r="R165" i="1"/>
  <c r="S165" i="1" s="1"/>
  <c r="R164" i="1"/>
  <c r="S164" i="1" s="1"/>
  <c r="R163" i="1"/>
  <c r="S163" i="1" s="1"/>
  <c r="R162" i="1"/>
  <c r="S162" i="1" s="1"/>
  <c r="R161" i="1"/>
  <c r="S161" i="1" s="1"/>
  <c r="R160" i="1"/>
  <c r="S160" i="1" s="1"/>
  <c r="R159" i="1"/>
  <c r="S159" i="1" s="1"/>
  <c r="R158" i="1"/>
  <c r="S158" i="1" s="1"/>
  <c r="R157" i="1"/>
  <c r="S157" i="1" s="1"/>
  <c r="R156" i="1"/>
  <c r="S156" i="1" s="1"/>
  <c r="S155" i="1"/>
  <c r="R155" i="1"/>
  <c r="R154" i="1"/>
  <c r="S154" i="1" s="1"/>
  <c r="R153" i="1"/>
  <c r="S153" i="1" s="1"/>
  <c r="R152" i="1"/>
  <c r="S152" i="1" s="1"/>
  <c r="R151" i="1"/>
  <c r="S151" i="1" s="1"/>
  <c r="R150" i="1"/>
  <c r="S150" i="1" s="1"/>
  <c r="R149" i="1"/>
  <c r="S149" i="1" s="1"/>
  <c r="R148" i="1"/>
  <c r="S148" i="1" s="1"/>
  <c r="R147" i="1"/>
  <c r="S147" i="1" s="1"/>
  <c r="R146" i="1"/>
  <c r="S146" i="1" s="1"/>
  <c r="R145" i="1"/>
  <c r="S145" i="1" s="1"/>
  <c r="R144" i="1"/>
  <c r="S144" i="1" s="1"/>
  <c r="R143" i="1"/>
  <c r="S143" i="1" s="1"/>
  <c r="R142" i="1"/>
  <c r="S142" i="1" s="1"/>
  <c r="R141" i="1"/>
  <c r="S141" i="1" s="1"/>
  <c r="R140" i="1"/>
  <c r="S140" i="1" s="1"/>
  <c r="R139" i="1"/>
  <c r="S139" i="1" s="1"/>
  <c r="R138" i="1"/>
  <c r="S138" i="1" s="1"/>
  <c r="R137" i="1"/>
  <c r="S137" i="1" s="1"/>
  <c r="R136" i="1"/>
  <c r="S136" i="1" s="1"/>
  <c r="R135" i="1"/>
  <c r="S135" i="1" s="1"/>
  <c r="S134" i="1"/>
  <c r="R134" i="1"/>
  <c r="R133" i="1"/>
  <c r="S133" i="1" s="1"/>
  <c r="R132" i="1"/>
  <c r="S132" i="1" s="1"/>
  <c r="R131" i="1"/>
  <c r="S131" i="1" s="1"/>
  <c r="R130" i="1"/>
  <c r="S130" i="1" s="1"/>
  <c r="R129" i="1"/>
  <c r="S129" i="1" s="1"/>
  <c r="R128" i="1"/>
  <c r="S128" i="1" s="1"/>
  <c r="R127" i="1"/>
  <c r="S127" i="1" s="1"/>
  <c r="R126" i="1"/>
  <c r="S126" i="1" s="1"/>
  <c r="R125" i="1"/>
  <c r="S125" i="1" s="1"/>
  <c r="R124" i="1"/>
  <c r="S124" i="1" s="1"/>
  <c r="S123" i="1"/>
  <c r="R123" i="1"/>
  <c r="S122" i="1"/>
  <c r="R122" i="1"/>
  <c r="R121" i="1"/>
  <c r="S121" i="1" s="1"/>
  <c r="R120" i="1"/>
  <c r="S120" i="1" s="1"/>
  <c r="R119" i="1"/>
  <c r="S119" i="1" s="1"/>
  <c r="R118" i="1"/>
  <c r="S118" i="1" s="1"/>
  <c r="R117" i="1"/>
  <c r="S117" i="1" s="1"/>
  <c r="R116" i="1"/>
  <c r="S116" i="1" s="1"/>
  <c r="R115" i="1"/>
  <c r="S115" i="1" s="1"/>
  <c r="R114" i="1"/>
  <c r="S114" i="1" s="1"/>
  <c r="R113" i="1"/>
  <c r="S113" i="1" s="1"/>
  <c r="R112" i="1"/>
  <c r="S112" i="1" s="1"/>
  <c r="R111" i="1"/>
  <c r="S111" i="1" s="1"/>
  <c r="R110" i="1"/>
  <c r="S110" i="1" s="1"/>
  <c r="R109" i="1"/>
  <c r="S109" i="1" s="1"/>
  <c r="R108" i="1"/>
  <c r="S108" i="1" s="1"/>
  <c r="R107" i="1"/>
  <c r="S107" i="1" s="1"/>
  <c r="R106" i="1"/>
  <c r="S106" i="1" s="1"/>
  <c r="R105" i="1"/>
  <c r="S105" i="1" s="1"/>
  <c r="R104" i="1"/>
  <c r="S104" i="1" s="1"/>
  <c r="R103" i="1"/>
  <c r="S103" i="1" s="1"/>
  <c r="R102" i="1"/>
  <c r="S102" i="1" s="1"/>
  <c r="R101" i="1"/>
  <c r="S101" i="1" s="1"/>
  <c r="R100" i="1"/>
  <c r="S100" i="1" s="1"/>
  <c r="S99" i="1"/>
  <c r="R99" i="1"/>
  <c r="S98" i="1"/>
  <c r="R98" i="1"/>
  <c r="R97" i="1"/>
  <c r="S97" i="1" s="1"/>
  <c r="R96" i="1"/>
  <c r="S96" i="1" s="1"/>
  <c r="R95" i="1"/>
  <c r="S95" i="1" s="1"/>
  <c r="R94" i="1"/>
  <c r="S94" i="1" s="1"/>
  <c r="S93" i="1"/>
  <c r="R93" i="1"/>
  <c r="S92" i="1"/>
  <c r="R92" i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S75" i="1"/>
  <c r="R75" i="1"/>
  <c r="R74" i="1"/>
  <c r="S74" i="1" s="1"/>
  <c r="R73" i="1"/>
  <c r="S73" i="1" s="1"/>
  <c r="R72" i="1"/>
  <c r="S72" i="1" s="1"/>
  <c r="R71" i="1"/>
  <c r="S71" i="1" s="1"/>
  <c r="R70" i="1"/>
  <c r="S70" i="1" s="1"/>
  <c r="S69" i="1"/>
  <c r="R69" i="1"/>
  <c r="R68" i="1"/>
  <c r="S68" i="1" s="1"/>
  <c r="R67" i="1"/>
  <c r="S67" i="1" s="1"/>
  <c r="R66" i="1"/>
  <c r="S66" i="1" s="1"/>
  <c r="R65" i="1"/>
  <c r="S65" i="1" s="1"/>
  <c r="R64" i="1"/>
  <c r="S64" i="1" s="1"/>
  <c r="S63" i="1"/>
  <c r="R63" i="1"/>
  <c r="S62" i="1"/>
  <c r="R62" i="1"/>
  <c r="R61" i="1"/>
  <c r="S61" i="1" s="1"/>
  <c r="R60" i="1"/>
  <c r="S60" i="1" s="1"/>
  <c r="R59" i="1"/>
  <c r="S59" i="1" s="1"/>
  <c r="R58" i="1"/>
  <c r="S58" i="1" s="1"/>
  <c r="R57" i="1"/>
  <c r="S57" i="1" s="1"/>
  <c r="S56" i="1"/>
  <c r="R56" i="1"/>
  <c r="R55" i="1"/>
  <c r="S55" i="1" s="1"/>
  <c r="R54" i="1"/>
  <c r="S54" i="1" s="1"/>
  <c r="R53" i="1"/>
  <c r="S53" i="1" s="1"/>
  <c r="R52" i="1"/>
  <c r="S52" i="1" s="1"/>
  <c r="S51" i="1"/>
  <c r="R51" i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S33" i="1"/>
  <c r="R33" i="1"/>
  <c r="S32" i="1"/>
  <c r="R32" i="1"/>
  <c r="R31" i="1"/>
  <c r="S31" i="1" s="1"/>
  <c r="R30" i="1"/>
  <c r="S30" i="1" s="1"/>
  <c r="R29" i="1"/>
  <c r="S29" i="1" s="1"/>
  <c r="R28" i="1"/>
  <c r="S28" i="1" s="1"/>
  <c r="S27" i="1"/>
  <c r="R27" i="1"/>
  <c r="S26" i="1"/>
  <c r="R26" i="1"/>
  <c r="R25" i="1"/>
  <c r="S25" i="1" s="1"/>
  <c r="R24" i="1"/>
  <c r="S24" i="1" s="1"/>
  <c r="R23" i="1"/>
  <c r="S23" i="1" s="1"/>
  <c r="R22" i="1"/>
  <c r="S22" i="1" s="1"/>
  <c r="R21" i="1"/>
  <c r="S2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" i="1"/>
  <c r="S2" i="1" s="1"/>
  <c r="S9" i="1" l="1"/>
  <c r="S20" i="1"/>
  <c r="S8" i="1"/>
  <c r="S19" i="1"/>
  <c r="S18" i="1"/>
  <c r="S5" i="1"/>
  <c r="S4" i="1"/>
  <c r="S10" i="1"/>
  <c r="S11" i="1"/>
  <c r="S17" i="1"/>
  <c r="S16" i="1"/>
  <c r="S15" i="1"/>
  <c r="S3" i="1"/>
  <c r="S14" i="1"/>
  <c r="S13" i="1"/>
  <c r="S12" i="1"/>
  <c r="S6" i="1"/>
  <c r="S7" i="1"/>
</calcChain>
</file>

<file path=xl/sharedStrings.xml><?xml version="1.0" encoding="utf-8"?>
<sst xmlns="http://schemas.openxmlformats.org/spreadsheetml/2006/main" count="12879" uniqueCount="715">
  <si>
    <t>0001</t>
  </si>
  <si>
    <t>100000112</t>
  </si>
  <si>
    <t>2022</t>
  </si>
  <si>
    <t>1</t>
  </si>
  <si>
    <t>01</t>
  </si>
  <si>
    <t>D</t>
  </si>
  <si>
    <t>S</t>
  </si>
  <si>
    <t>INR</t>
  </si>
  <si>
    <t>AGD</t>
  </si>
  <si>
    <t/>
  </si>
  <si>
    <t>24430000</t>
  </si>
  <si>
    <t>X</t>
  </si>
  <si>
    <t>100</t>
  </si>
  <si>
    <t>0</t>
  </si>
  <si>
    <t>ZCRS</t>
  </si>
  <si>
    <t>TESTCUST</t>
  </si>
  <si>
    <t>DR</t>
  </si>
  <si>
    <t>3</t>
  </si>
  <si>
    <t>RFBU</t>
  </si>
  <si>
    <t>010000011200012022</t>
  </si>
  <si>
    <t>43200000</t>
  </si>
  <si>
    <t>9</t>
  </si>
  <si>
    <t>BKPF</t>
  </si>
  <si>
    <t>A0</t>
  </si>
  <si>
    <t>1800000003</t>
  </si>
  <si>
    <t>IN01</t>
  </si>
  <si>
    <t>200000013</t>
  </si>
  <si>
    <t>USD</t>
  </si>
  <si>
    <t>180000000300012022</t>
  </si>
  <si>
    <t>25300000</t>
  </si>
  <si>
    <t>DE</t>
  </si>
  <si>
    <t>0011</t>
  </si>
  <si>
    <t>2021</t>
  </si>
  <si>
    <t>Consulting Fees Revenue</t>
  </si>
  <si>
    <t>20000100</t>
  </si>
  <si>
    <t>2900000002</t>
  </si>
  <si>
    <t>RANH</t>
  </si>
  <si>
    <t>37001</t>
  </si>
  <si>
    <t>180000000300112021</t>
  </si>
  <si>
    <t>50000000</t>
  </si>
  <si>
    <t>6</t>
  </si>
  <si>
    <t>0000037001</t>
  </si>
  <si>
    <t>GB</t>
  </si>
  <si>
    <t>1005</t>
  </si>
  <si>
    <t>1000</t>
  </si>
  <si>
    <t>2019</t>
  </si>
  <si>
    <t>TESTS</t>
  </si>
  <si>
    <t>123000</t>
  </si>
  <si>
    <t>20190717</t>
  </si>
  <si>
    <t>20001</t>
  </si>
  <si>
    <t>E</t>
  </si>
  <si>
    <t>010000011210002019</t>
  </si>
  <si>
    <t>113010</t>
  </si>
  <si>
    <t>7</t>
  </si>
  <si>
    <t>2018</t>
  </si>
  <si>
    <t>121000</t>
  </si>
  <si>
    <t>CCCC</t>
  </si>
  <si>
    <t>180000000310002018</t>
  </si>
  <si>
    <t>510070</t>
  </si>
  <si>
    <t>4</t>
  </si>
  <si>
    <t>IN</t>
  </si>
  <si>
    <t>V0</t>
  </si>
  <si>
    <t>230000010</t>
  </si>
  <si>
    <t>180000000310002021</t>
  </si>
  <si>
    <t>703000</t>
  </si>
  <si>
    <t>5</t>
  </si>
  <si>
    <t>DUMM</t>
  </si>
  <si>
    <t>63</t>
  </si>
  <si>
    <t>200301</t>
  </si>
  <si>
    <t>6000011</t>
  </si>
  <si>
    <t>0000000063DUMM2022</t>
  </si>
  <si>
    <t>400100</t>
  </si>
  <si>
    <t>64</t>
  </si>
  <si>
    <t>0000000064DUMM2022</t>
  </si>
  <si>
    <t>KKR</t>
  </si>
  <si>
    <t>12</t>
  </si>
  <si>
    <t>H</t>
  </si>
  <si>
    <t>13150000</t>
  </si>
  <si>
    <t>7014</t>
  </si>
  <si>
    <t>1800000003KKR 2021</t>
  </si>
  <si>
    <t>58130000</t>
  </si>
  <si>
    <t>0000007014</t>
  </si>
  <si>
    <t>MUL</t>
  </si>
  <si>
    <t>200008</t>
  </si>
  <si>
    <t>MULC</t>
  </si>
  <si>
    <t>1100000039</t>
  </si>
  <si>
    <t>1800000003MUL 2021</t>
  </si>
  <si>
    <t>200193</t>
  </si>
  <si>
    <t>20210914</t>
  </si>
  <si>
    <t>NK22</t>
  </si>
  <si>
    <t>2000000</t>
  </si>
  <si>
    <t>20220308</t>
  </si>
  <si>
    <t>230000071</t>
  </si>
  <si>
    <t>600000</t>
  </si>
  <si>
    <t>1800000003NK222021</t>
  </si>
  <si>
    <t>4000099</t>
  </si>
  <si>
    <t>A1</t>
  </si>
  <si>
    <t>F1</t>
  </si>
  <si>
    <t>NK99</t>
  </si>
  <si>
    <t>2020</t>
  </si>
  <si>
    <t>Sort key test 1</t>
  </si>
  <si>
    <t>1000000</t>
  </si>
  <si>
    <t>20200923</t>
  </si>
  <si>
    <t>1100000020</t>
  </si>
  <si>
    <t>1800000003NK992020</t>
  </si>
  <si>
    <t>1012010</t>
  </si>
  <si>
    <t>POL4</t>
  </si>
  <si>
    <t>test</t>
  </si>
  <si>
    <t>1100000010</t>
  </si>
  <si>
    <t>1800000003POL42020</t>
  </si>
  <si>
    <t>30000</t>
  </si>
  <si>
    <t>TRM2</t>
  </si>
  <si>
    <t>2017</t>
  </si>
  <si>
    <t>Domestic Sales</t>
  </si>
  <si>
    <t>200000003</t>
  </si>
  <si>
    <t>1800000003TRM22017</t>
  </si>
  <si>
    <t>E2</t>
  </si>
  <si>
    <t>OT</t>
  </si>
  <si>
    <t>1400000001</t>
  </si>
  <si>
    <t>10</t>
  </si>
  <si>
    <t>1800000003TRM22018</t>
  </si>
  <si>
    <t>40010000</t>
  </si>
  <si>
    <t>N060</t>
  </si>
  <si>
    <t>2</t>
  </si>
  <si>
    <t>SPlit AP VAT</t>
  </si>
  <si>
    <t>165</t>
  </si>
  <si>
    <t>1800000003TRM22020</t>
  </si>
  <si>
    <t>40200000</t>
  </si>
  <si>
    <t>A</t>
  </si>
  <si>
    <t>1800000003TRM22021</t>
  </si>
  <si>
    <t>44011000</t>
  </si>
  <si>
    <t>11</t>
  </si>
  <si>
    <t>Z001</t>
  </si>
  <si>
    <t>1800000003Z0012017</t>
  </si>
  <si>
    <t>Company Code</t>
  </si>
  <si>
    <t>Document Number</t>
  </si>
  <si>
    <t>Fiscal Year</t>
  </si>
  <si>
    <t>Line item</t>
  </si>
  <si>
    <t>Posting Key</t>
  </si>
  <si>
    <t>Account Type</t>
  </si>
  <si>
    <t>Debit/Credit ind</t>
  </si>
  <si>
    <t>Amt.in loc.cur.</t>
  </si>
  <si>
    <t>Amount</t>
  </si>
  <si>
    <t>Orig.Reduction Amt</t>
  </si>
  <si>
    <t>General Ledger Amount</t>
  </si>
  <si>
    <t>General Ledger Currency</t>
  </si>
  <si>
    <t>Transaction</t>
  </si>
  <si>
    <t>Text</t>
  </si>
  <si>
    <t>Cost Center</t>
  </si>
  <si>
    <t>Payment Transaction</t>
  </si>
  <si>
    <t>G/L Account</t>
  </si>
  <si>
    <t>Vendor</t>
  </si>
  <si>
    <t>Profit Center</t>
  </si>
  <si>
    <t>Account assignment</t>
  </si>
  <si>
    <t>Account ID</t>
  </si>
  <si>
    <t>Acct Assignment Cat.</t>
  </si>
  <si>
    <t>Activity Code GI Tax</t>
  </si>
  <si>
    <t>Activity Type</t>
  </si>
  <si>
    <t>Additional Tax</t>
  </si>
  <si>
    <t>Alt. Price Control</t>
  </si>
  <si>
    <t>Alternative Account No.</t>
  </si>
  <si>
    <t>Amount Posted</t>
  </si>
  <si>
    <t>AR Pledging Ind.</t>
  </si>
  <si>
    <t>Asset</t>
  </si>
  <si>
    <t>Asset Transaction Type</t>
  </si>
  <si>
    <t>Asset Value Date</t>
  </si>
  <si>
    <t>Assignment</t>
  </si>
  <si>
    <t>Balance sheet account</t>
  </si>
  <si>
    <t>Base Unit of Measure</t>
  </si>
  <si>
    <t>Baseline Payment Dte</t>
  </si>
  <si>
    <t>Bill/Ex. Usage</t>
  </si>
  <si>
    <t>Billing Document</t>
  </si>
  <si>
    <t>Billing indicator</t>
  </si>
  <si>
    <t>Billing Period of Performance End Date</t>
  </si>
  <si>
    <t>Billing Period of Performance Start Date</t>
  </si>
  <si>
    <t>Blkg Reason: Item Amount</t>
  </si>
  <si>
    <t>Block. Reason: Date</t>
  </si>
  <si>
    <t>Blocking Reas: Proj.</t>
  </si>
  <si>
    <t>Blocking Reas. Price</t>
  </si>
  <si>
    <t>Blocking Reason: Qty</t>
  </si>
  <si>
    <t>Blocking Reason:OPQ</t>
  </si>
  <si>
    <t>BlockReason:Quality</t>
  </si>
  <si>
    <t>BoE Payment Request</t>
  </si>
  <si>
    <t>Branch account</t>
  </si>
  <si>
    <t>Branch Code</t>
  </si>
  <si>
    <t>Budget Period</t>
  </si>
  <si>
    <t>Business Area</t>
  </si>
  <si>
    <t>Business place</t>
  </si>
  <si>
    <t>Business Process</t>
  </si>
  <si>
    <t>Cash Disc 1 Due Date</t>
  </si>
  <si>
    <t>Cash Disc 2 Due Date</t>
  </si>
  <si>
    <t>Cash Discount (+/-)</t>
  </si>
  <si>
    <t>Cash Discount Amount</t>
  </si>
  <si>
    <t>CCtrPostingStatist</t>
  </si>
  <si>
    <t>CD Amount</t>
  </si>
  <si>
    <t>CD Amount in LC2</t>
  </si>
  <si>
    <t>CD Amount in LC3</t>
  </si>
  <si>
    <t>CD Base</t>
  </si>
  <si>
    <t>Change int. price</t>
  </si>
  <si>
    <t>Check digit</t>
  </si>
  <si>
    <t>Clearing Date</t>
  </si>
  <si>
    <t>Clearing Document</t>
  </si>
  <si>
    <t>Clearing Entry Date</t>
  </si>
  <si>
    <t>Clearing Fiscal Year</t>
  </si>
  <si>
    <t>Clearing Item</t>
  </si>
  <si>
    <t>Clearing Specific to Ledger Groups</t>
  </si>
  <si>
    <t>Client</t>
  </si>
  <si>
    <t>Collective Invoice</t>
  </si>
  <si>
    <t>Commitment item</t>
  </si>
  <si>
    <t>Complete Retirement</t>
  </si>
  <si>
    <t>Contract Number</t>
  </si>
  <si>
    <t>Contract Type</t>
  </si>
  <si>
    <t>Controlling Area</t>
  </si>
  <si>
    <t>Cost Element</t>
  </si>
  <si>
    <t>Cost Object</t>
  </si>
  <si>
    <t>Counter</t>
  </si>
  <si>
    <t>Credit Control Amt</t>
  </si>
  <si>
    <t>Credit control area</t>
  </si>
  <si>
    <t>Currency</t>
  </si>
  <si>
    <t>Custom Field</t>
  </si>
  <si>
    <t>Custom Segment</t>
  </si>
  <si>
    <t>Customer</t>
  </si>
  <si>
    <t>Customs Date</t>
  </si>
  <si>
    <t>Customs Tariff No.</t>
  </si>
  <si>
    <t>Data Filter Value for Data Aging</t>
  </si>
  <si>
    <t>Days 1</t>
  </si>
  <si>
    <t>Days 2</t>
  </si>
  <si>
    <t>Days in Arrears</t>
  </si>
  <si>
    <t>Days Net</t>
  </si>
  <si>
    <t>Delivery Completed</t>
  </si>
  <si>
    <t>Destination Country</t>
  </si>
  <si>
    <t>Difference realized</t>
  </si>
  <si>
    <t>Difference Realized</t>
  </si>
  <si>
    <t>Difference Realized 2</t>
  </si>
  <si>
    <t>Difference Realized 3</t>
  </si>
  <si>
    <t>Disc.percent 1</t>
  </si>
  <si>
    <t>Disc.percent 2</t>
  </si>
  <si>
    <t>Discount Lne Iem</t>
  </si>
  <si>
    <t>Display Item</t>
  </si>
  <si>
    <t>Distribution Type</t>
  </si>
  <si>
    <t>Document Date</t>
  </si>
  <si>
    <t>Document item</t>
  </si>
  <si>
    <t>Document item number for tax document.</t>
  </si>
  <si>
    <t>Document Status</t>
  </si>
  <si>
    <t>Document type</t>
  </si>
  <si>
    <t>DRIVER</t>
  </si>
  <si>
    <t>Dummy function in length 1</t>
  </si>
  <si>
    <t>Dunning Area</t>
  </si>
  <si>
    <t>Dunning Block</t>
  </si>
  <si>
    <t>Dunning Key</t>
  </si>
  <si>
    <t>Dunning Level</t>
  </si>
  <si>
    <t>Earmarked funds</t>
  </si>
  <si>
    <t>ED base quantity</t>
  </si>
  <si>
    <t>ED external pricing</t>
  </si>
  <si>
    <t>ED pricing: external</t>
  </si>
  <si>
    <t>ED qty in STBME</t>
  </si>
  <si>
    <t>ED value 0</t>
  </si>
  <si>
    <t>ED value 1</t>
  </si>
  <si>
    <t>ED value 2</t>
  </si>
  <si>
    <t>ED value 3</t>
  </si>
  <si>
    <t>ED value 4</t>
  </si>
  <si>
    <t>ED value 5</t>
  </si>
  <si>
    <t>ED value 6</t>
  </si>
  <si>
    <t>Equity Group</t>
  </si>
  <si>
    <t>Equity type</t>
  </si>
  <si>
    <t>EU Triangular Deal</t>
  </si>
  <si>
    <t>Exchange number</t>
  </si>
  <si>
    <t>Exchange type</t>
  </si>
  <si>
    <t>Excise Duty Group</t>
  </si>
  <si>
    <t>Excise duty tax val</t>
  </si>
  <si>
    <t>Excise duty value</t>
  </si>
  <si>
    <t>Exemption Number</t>
  </si>
  <si>
    <t>Expense or Revenue Account in CL</t>
  </si>
  <si>
    <t>Fast Pay Indicator</t>
  </si>
  <si>
    <t>FC Amount</t>
  </si>
  <si>
    <t>Financial Budget</t>
  </si>
  <si>
    <t>Fisc. Year</t>
  </si>
  <si>
    <t>Fixed</t>
  </si>
  <si>
    <t>Flow Type</t>
  </si>
  <si>
    <t>FM Reference Document Number</t>
  </si>
  <si>
    <t>FM Reference Line Item</t>
  </si>
  <si>
    <t>FM Reference Sequence Account Assignment</t>
  </si>
  <si>
    <t>FM Reference Year</t>
  </si>
  <si>
    <t>Follow-On Doc. Type</t>
  </si>
  <si>
    <t>Full tax value</t>
  </si>
  <si>
    <t>Functional Area</t>
  </si>
  <si>
    <t>Fund</t>
  </si>
  <si>
    <t>Funded Program</t>
  </si>
  <si>
    <t>Funds center</t>
  </si>
  <si>
    <t>Future tax date</t>
  </si>
  <si>
    <t>Future tax date 2</t>
  </si>
  <si>
    <t>Future tax qty.2</t>
  </si>
  <si>
    <t>Future tax quantity</t>
  </si>
  <si>
    <t>Future tax value</t>
  </si>
  <si>
    <t>Future tax value 2</t>
  </si>
  <si>
    <t>G/L Transaction Type</t>
  </si>
  <si>
    <t>Grant</t>
  </si>
  <si>
    <t>Group Account Number</t>
  </si>
  <si>
    <t>Group Indicator</t>
  </si>
  <si>
    <t>Handling Type</t>
  </si>
  <si>
    <t>Hedged Amount</t>
  </si>
  <si>
    <t>Hedged Exchange Rate</t>
  </si>
  <si>
    <t>House bank</t>
  </si>
  <si>
    <t>Ignore Invoice Reference</t>
  </si>
  <si>
    <t>Incoming Doc. Date</t>
  </si>
  <si>
    <t>Incoming Doc. Nmbr</t>
  </si>
  <si>
    <t>Indicator: Billing Document Update Succe</t>
  </si>
  <si>
    <t>Indicator: Down Payment in Net Procedure</t>
  </si>
  <si>
    <t>Indicator: Items Cannot Be Copied?</t>
  </si>
  <si>
    <t>Indicator: Resident G/L Account?</t>
  </si>
  <si>
    <t>Indicator: Transfer Posting from Down Pa</t>
  </si>
  <si>
    <t>Individ. Set</t>
  </si>
  <si>
    <t>Inflation Index</t>
  </si>
  <si>
    <t>Instruction Key 1</t>
  </si>
  <si>
    <t>Instruction Key 2</t>
  </si>
  <si>
    <t>Instruction key 3</t>
  </si>
  <si>
    <t>Instruction key 4</t>
  </si>
  <si>
    <t>Insurance Date</t>
  </si>
  <si>
    <t>Insurance Indicator</t>
  </si>
  <si>
    <t>Interest Block</t>
  </si>
  <si>
    <t>Investment ID</t>
  </si>
  <si>
    <t>Invoice cycle</t>
  </si>
  <si>
    <t>Invoice Reference</t>
  </si>
  <si>
    <t>Invoice Value</t>
  </si>
  <si>
    <t>Invoice Value in FC</t>
  </si>
  <si>
    <t>ISR/QR Reference Number</t>
  </si>
  <si>
    <t>Item</t>
  </si>
  <si>
    <t>Item in Sender System</t>
  </si>
  <si>
    <t>Joint Venture</t>
  </si>
  <si>
    <t>Last Adjustment Date</t>
  </si>
  <si>
    <t>Last Dunned</t>
  </si>
  <si>
    <t>LC Provision</t>
  </si>
  <si>
    <t>LC Tax Amount</t>
  </si>
  <si>
    <t>LC Tax Base</t>
  </si>
  <si>
    <t>LC2 amount</t>
  </si>
  <si>
    <t>LC2 Non-Deductible</t>
  </si>
  <si>
    <t>LC2 Tax Amount</t>
  </si>
  <si>
    <t>LC2 Tax Base Amount</t>
  </si>
  <si>
    <t>LC3 amount</t>
  </si>
  <si>
    <t>LC3 Non-Deductible</t>
  </si>
  <si>
    <t>LC3 Tax Amount</t>
  </si>
  <si>
    <t>LC3 Tax Base Amount</t>
  </si>
  <si>
    <t>Line Item</t>
  </si>
  <si>
    <t>Line item automatically created</t>
  </si>
  <si>
    <t>Line Item Display Possible</t>
  </si>
  <si>
    <t>Line Item ID</t>
  </si>
  <si>
    <t>Liquidity Item</t>
  </si>
  <si>
    <t>Local Currency</t>
  </si>
  <si>
    <t>Local currency 2</t>
  </si>
  <si>
    <t>Local currency 3</t>
  </si>
  <si>
    <t>Log. system source</t>
  </si>
  <si>
    <t>Mandate Reference</t>
  </si>
  <si>
    <t>Manual Block. Reason</t>
  </si>
  <si>
    <t>Manual G/L Account</t>
  </si>
  <si>
    <t>Material</t>
  </si>
  <si>
    <t>Method with Which the Local Currency Amo</t>
  </si>
  <si>
    <t>Neg.fee posting line</t>
  </si>
  <si>
    <t>Negative Posting</t>
  </si>
  <si>
    <t>Net Due Date</t>
  </si>
  <si>
    <t>Netting cycle</t>
  </si>
  <si>
    <t>Network</t>
  </si>
  <si>
    <t>New Price</t>
  </si>
  <si>
    <t>Non-Deductible</t>
  </si>
  <si>
    <t>not in use</t>
  </si>
  <si>
    <t>Object key</t>
  </si>
  <si>
    <t>Offsetting Account</t>
  </si>
  <si>
    <t>Offsetting Account in General Ledger</t>
  </si>
  <si>
    <t>Offsetting Account Type</t>
  </si>
  <si>
    <t>Oil content %</t>
  </si>
  <si>
    <t>Oil-JV:Dummy (&lt;40B=JV_RECID_M)</t>
  </si>
  <si>
    <t>Open Item Management</t>
  </si>
  <si>
    <t>Option Rate</t>
  </si>
  <si>
    <t>Order</t>
  </si>
  <si>
    <t>Order Post.Statist.</t>
  </si>
  <si>
    <t>Order Price Unit</t>
  </si>
  <si>
    <t>Origin group</t>
  </si>
  <si>
    <t>Original Item</t>
  </si>
  <si>
    <t>Original Tax Base Amount</t>
  </si>
  <si>
    <t>P&amp;L statmt acct type</t>
  </si>
  <si>
    <t>PA Posting Stat.</t>
  </si>
  <si>
    <t>Par. Budget Per.</t>
  </si>
  <si>
    <t>Part.bank type</t>
  </si>
  <si>
    <t>Partner</t>
  </si>
  <si>
    <t>Partner Func. Area</t>
  </si>
  <si>
    <t>Partner Fund</t>
  </si>
  <si>
    <t>Partner Grant</t>
  </si>
  <si>
    <t>Partner Profit Ctr</t>
  </si>
  <si>
    <t>Partner Segment</t>
  </si>
  <si>
    <t>Payee/er</t>
  </si>
  <si>
    <t>Payment Amount</t>
  </si>
  <si>
    <t>Payment block</t>
  </si>
  <si>
    <t>Payment Card Item</t>
  </si>
  <si>
    <t>Payment Is Released</t>
  </si>
  <si>
    <t>Payment Method</t>
  </si>
  <si>
    <t>Payment or Proposal Key</t>
  </si>
  <si>
    <t>Payment Ref.of Payment Service Provider</t>
  </si>
  <si>
    <t>Payment reference</t>
  </si>
  <si>
    <t>Payment Sent</t>
  </si>
  <si>
    <t>Payment Service Provider</t>
  </si>
  <si>
    <t>Payment terms</t>
  </si>
  <si>
    <t>PBC/ISR number</t>
  </si>
  <si>
    <t>Pen.Charge in LC2</t>
  </si>
  <si>
    <t>Pen.Charge in LC3</t>
  </si>
  <si>
    <t>Penalty Charge</t>
  </si>
  <si>
    <t>Penalty Chge in LC</t>
  </si>
  <si>
    <t>Per. of Acquisition</t>
  </si>
  <si>
    <t>Percentage Rate</t>
  </si>
  <si>
    <t>Personnel Number</t>
  </si>
  <si>
    <t>Planned Amount</t>
  </si>
  <si>
    <t>Planning Date</t>
  </si>
  <si>
    <t>Planning Group</t>
  </si>
  <si>
    <t>Planning Level</t>
  </si>
  <si>
    <t>Plant</t>
  </si>
  <si>
    <t>Pmnt curr. amnt</t>
  </si>
  <si>
    <t>Pmnt currency</t>
  </si>
  <si>
    <t>Pmt meth. supplement</t>
  </si>
  <si>
    <t>Position</t>
  </si>
  <si>
    <t>Post zero amounts</t>
  </si>
  <si>
    <t>Posting Date</t>
  </si>
  <si>
    <t>Posting period</t>
  </si>
  <si>
    <t>PPA Exclude Ind.</t>
  </si>
  <si>
    <t>Pref.Percentage Rate</t>
  </si>
  <si>
    <t>Preference Amount</t>
  </si>
  <si>
    <t>Price control</t>
  </si>
  <si>
    <t>Price unit</t>
  </si>
  <si>
    <t>Production Month</t>
  </si>
  <si>
    <t>Profitab. Segmt No.</t>
  </si>
  <si>
    <t>Proj. Posting Stat</t>
  </si>
  <si>
    <t>Purchasing Document</t>
  </si>
  <si>
    <t>Qty in OPUn</t>
  </si>
  <si>
    <t>Qty in unit of entry</t>
  </si>
  <si>
    <t>Quantity</t>
  </si>
  <si>
    <t>Quantity +/- Sign</t>
  </si>
  <si>
    <t>Real estate code</t>
  </si>
  <si>
    <t>Real Estate Key</t>
  </si>
  <si>
    <t>Reason Code</t>
  </si>
  <si>
    <t>Reason for Late Pmnt</t>
  </si>
  <si>
    <t>Recovery Indicator</t>
  </si>
  <si>
    <t>Reference date</t>
  </si>
  <si>
    <t>Reference Key 1</t>
  </si>
  <si>
    <t>Reference Key 2</t>
  </si>
  <si>
    <t>Reference key 3</t>
  </si>
  <si>
    <t>Reference procedure</t>
  </si>
  <si>
    <t>Return Before</t>
  </si>
  <si>
    <t>Reverse Clearing</t>
  </si>
  <si>
    <t>Sales document</t>
  </si>
  <si>
    <t>Sales Document Item</t>
  </si>
  <si>
    <t>Sales-Related</t>
  </si>
  <si>
    <t>SCB Indicator</t>
  </si>
  <si>
    <t>Schedule line number</t>
  </si>
  <si>
    <t>Section Code</t>
  </si>
  <si>
    <t>Securities Account</t>
  </si>
  <si>
    <t>Segment</t>
  </si>
  <si>
    <t>Seq. No. of Account Assgt</t>
  </si>
  <si>
    <t>Sequence Number</t>
  </si>
  <si>
    <t>Service Indicator</t>
  </si>
  <si>
    <t>Settlement run</t>
  </si>
  <si>
    <t>Settlmnt Period</t>
  </si>
  <si>
    <t>Sp. G/L Assignment</t>
  </si>
  <si>
    <t>Sp. G/L Trans.Type</t>
  </si>
  <si>
    <t>Special G/L Ind.</t>
  </si>
  <si>
    <t>ST Recredit Flag</t>
  </si>
  <si>
    <t>State</t>
  </si>
  <si>
    <t>Statistical Tax Amount in Document Crcy</t>
  </si>
  <si>
    <t>Sub-number</t>
  </si>
  <si>
    <t>Subnumber</t>
  </si>
  <si>
    <t>Subseq. Debit/Credit</t>
  </si>
  <si>
    <t>Subsidy Indicator</t>
  </si>
  <si>
    <t>Supplying Cntry</t>
  </si>
  <si>
    <t>Supplying Country</t>
  </si>
  <si>
    <t>Target Sp.G/L Ind.</t>
  </si>
  <si>
    <t>Task List Number Operations</t>
  </si>
  <si>
    <t>Tax Amount</t>
  </si>
  <si>
    <t>Tax Base Amount</t>
  </si>
  <si>
    <t>Tax code</t>
  </si>
  <si>
    <t>Tax Code</t>
  </si>
  <si>
    <t>Tax company code</t>
  </si>
  <si>
    <t>Tax date</t>
  </si>
  <si>
    <t>Tax Jurisdiction</t>
  </si>
  <si>
    <t>Tax key 'from'</t>
  </si>
  <si>
    <t>Tax key 'to'</t>
  </si>
  <si>
    <t>Tax Portion FI-CA Local Currency</t>
  </si>
  <si>
    <t>Tax Type</t>
  </si>
  <si>
    <t>Trading part.BA</t>
  </si>
  <si>
    <t>Trading partner</t>
  </si>
  <si>
    <t>Transaction type</t>
  </si>
  <si>
    <t>Transaction Type</t>
  </si>
  <si>
    <t>Transfer Date to Legal Dunning Proc.</t>
  </si>
  <si>
    <t>Transfer to Execution</t>
  </si>
  <si>
    <t>Type of Addtnl Recvabl</t>
  </si>
  <si>
    <t>Unit of Entry</t>
  </si>
  <si>
    <t>Update Method</t>
  </si>
  <si>
    <t>US Government Fields</t>
  </si>
  <si>
    <t>Usage Document</t>
  </si>
  <si>
    <t>Valuation area</t>
  </si>
  <si>
    <t>Valuation Difference</t>
  </si>
  <si>
    <t>Valuation Difference 2</t>
  </si>
  <si>
    <t>Valuation Difference 3</t>
  </si>
  <si>
    <t>Valuation Type</t>
  </si>
  <si>
    <t>Value date</t>
  </si>
  <si>
    <t>Value String</t>
  </si>
  <si>
    <t>VAT on int.mat.</t>
  </si>
  <si>
    <t>VAT Registration No.</t>
  </si>
  <si>
    <t>Version Number Component</t>
  </si>
  <si>
    <t>W/o Cash Dscnt</t>
  </si>
  <si>
    <t>WBS Element</t>
  </si>
  <si>
    <t>Withholding Tax Amt</t>
  </si>
  <si>
    <t>Withholding Tax Base</t>
  </si>
  <si>
    <t>Withholding Tax Code</t>
  </si>
  <si>
    <t>WTax-Exempt Amount</t>
  </si>
  <si>
    <t>Year</t>
  </si>
  <si>
    <t>Year of acquisition</t>
  </si>
  <si>
    <t>ZMATNR_SB</t>
  </si>
  <si>
    <t>1800000000</t>
  </si>
  <si>
    <t>20000000</t>
  </si>
  <si>
    <t>1800000001</t>
  </si>
  <si>
    <t>1800000002</t>
  </si>
  <si>
    <t>0187</t>
  </si>
  <si>
    <t>1800000004</t>
  </si>
  <si>
    <t>1800000005</t>
  </si>
  <si>
    <t>1800000006</t>
  </si>
  <si>
    <t>EUR</t>
  </si>
  <si>
    <t>1800000007</t>
  </si>
  <si>
    <t>1800000008</t>
  </si>
  <si>
    <t>1800000009</t>
  </si>
  <si>
    <t>1800000010</t>
  </si>
  <si>
    <t>1800000011</t>
  </si>
  <si>
    <t>1800000012</t>
  </si>
  <si>
    <t>1800000013</t>
  </si>
  <si>
    <t>1800000014</t>
  </si>
  <si>
    <t>1800000015</t>
  </si>
  <si>
    <t>1800000016</t>
  </si>
  <si>
    <t>1800000017</t>
  </si>
  <si>
    <t>1800000018</t>
  </si>
  <si>
    <t>INCOME TEST ON NETTING</t>
  </si>
  <si>
    <t>122000</t>
  </si>
  <si>
    <t>1999</t>
  </si>
  <si>
    <t>100100</t>
  </si>
  <si>
    <t>BOAT</t>
  </si>
  <si>
    <t>G100</t>
  </si>
  <si>
    <t>Revenue</t>
  </si>
  <si>
    <t>133610</t>
  </si>
  <si>
    <t>test exp</t>
  </si>
  <si>
    <t>24600000</t>
  </si>
  <si>
    <t>1800000019</t>
  </si>
  <si>
    <t>1800000020</t>
  </si>
  <si>
    <t>1800000021</t>
  </si>
  <si>
    <t>1800000022</t>
  </si>
  <si>
    <t>1800000023</t>
  </si>
  <si>
    <t>1800000024</t>
  </si>
  <si>
    <t>1800000025</t>
  </si>
  <si>
    <t>1800000026</t>
  </si>
  <si>
    <t>1800000027</t>
  </si>
  <si>
    <t>1800000028</t>
  </si>
  <si>
    <t>1800000029</t>
  </si>
  <si>
    <t>1800000030</t>
  </si>
  <si>
    <t>1800000031</t>
  </si>
  <si>
    <t>1800000032</t>
  </si>
  <si>
    <t>1800000033</t>
  </si>
  <si>
    <t>1800000034</t>
  </si>
  <si>
    <t>1800000035</t>
  </si>
  <si>
    <t>1800000036</t>
  </si>
  <si>
    <t>1800000037</t>
  </si>
  <si>
    <t>1800000038</t>
  </si>
  <si>
    <t>1800000039</t>
  </si>
  <si>
    <t>1800000040</t>
  </si>
  <si>
    <t>1800000041</t>
  </si>
  <si>
    <t>1800000042</t>
  </si>
  <si>
    <t>1800000043</t>
  </si>
  <si>
    <t>1800000044</t>
  </si>
  <si>
    <t>1800000046</t>
  </si>
  <si>
    <t>1800000047</t>
  </si>
  <si>
    <t>1800000048</t>
  </si>
  <si>
    <t>1800000049</t>
  </si>
  <si>
    <t>1800000050</t>
  </si>
  <si>
    <t>1800000051</t>
  </si>
  <si>
    <t>1800000052</t>
  </si>
  <si>
    <t>1800000053</t>
  </si>
  <si>
    <t>1800000054</t>
  </si>
  <si>
    <t>1800000055</t>
  </si>
  <si>
    <t>1800000056</t>
  </si>
  <si>
    <t>1800000057</t>
  </si>
  <si>
    <t>1800000058</t>
  </si>
  <si>
    <t>1800000059</t>
  </si>
  <si>
    <t>1800000060</t>
  </si>
  <si>
    <t>1800000061</t>
  </si>
  <si>
    <t>1800000062</t>
  </si>
  <si>
    <t>1800000063</t>
  </si>
  <si>
    <t>1800000064</t>
  </si>
  <si>
    <t>1800000065</t>
  </si>
  <si>
    <t>1800000066</t>
  </si>
  <si>
    <t>1800000067</t>
  </si>
  <si>
    <t>1800000068</t>
  </si>
  <si>
    <t>1800000069</t>
  </si>
  <si>
    <t>1800000070</t>
  </si>
  <si>
    <t>1800000071</t>
  </si>
  <si>
    <t>1800000072</t>
  </si>
  <si>
    <t>1800000073</t>
  </si>
  <si>
    <t>1800000074</t>
  </si>
  <si>
    <t>1800000075</t>
  </si>
  <si>
    <t>1800000076</t>
  </si>
  <si>
    <t>1800000077</t>
  </si>
  <si>
    <t>1800000078</t>
  </si>
  <si>
    <t>1800000084</t>
  </si>
  <si>
    <t>1800000085</t>
  </si>
  <si>
    <t>1800000086</t>
  </si>
  <si>
    <t>1800000087</t>
  </si>
  <si>
    <t>1800000088</t>
  </si>
  <si>
    <t>1800000089</t>
  </si>
  <si>
    <t>1800000090</t>
  </si>
  <si>
    <t>1800000091</t>
  </si>
  <si>
    <t>1800000092</t>
  </si>
  <si>
    <t>1800000093</t>
  </si>
  <si>
    <t>1800000094</t>
  </si>
  <si>
    <t>1800000095</t>
  </si>
  <si>
    <t>1800000096</t>
  </si>
  <si>
    <t>1800000097</t>
  </si>
  <si>
    <t>1800000098</t>
  </si>
  <si>
    <t>1800000099</t>
  </si>
  <si>
    <t>1800000100</t>
  </si>
  <si>
    <t>1800000101</t>
  </si>
  <si>
    <t>1800000102</t>
  </si>
  <si>
    <t>1800000103</t>
  </si>
  <si>
    <t>1800000104</t>
  </si>
  <si>
    <t>1800000105</t>
  </si>
  <si>
    <t>1800000106</t>
  </si>
  <si>
    <t>1800000107</t>
  </si>
  <si>
    <t>LUX1</t>
  </si>
  <si>
    <t>20007</t>
  </si>
  <si>
    <t>TEST</t>
  </si>
  <si>
    <t>Sort key test</t>
  </si>
  <si>
    <t>DUNNING TEST</t>
  </si>
  <si>
    <t>TEST-DUNNING</t>
  </si>
  <si>
    <t>test_dunning</t>
  </si>
  <si>
    <t>TEST1</t>
  </si>
  <si>
    <t>TEST1223</t>
  </si>
  <si>
    <t>POL5</t>
  </si>
  <si>
    <t>PWC</t>
  </si>
  <si>
    <t>40110000</t>
  </si>
  <si>
    <t>SA14</t>
  </si>
  <si>
    <t>1000000001</t>
  </si>
  <si>
    <t>SIL</t>
  </si>
  <si>
    <t>70000400</t>
  </si>
  <si>
    <t>TRM1</t>
  </si>
  <si>
    <t>24400000</t>
  </si>
  <si>
    <t>Liquidity Planning</t>
  </si>
  <si>
    <t>11100100</t>
  </si>
  <si>
    <t>Liquidity Forecast</t>
  </si>
  <si>
    <t>FI Test</t>
  </si>
  <si>
    <t>Export Sales</t>
  </si>
  <si>
    <t>24430100</t>
  </si>
  <si>
    <t>Sale</t>
  </si>
  <si>
    <t>Sales//121603512</t>
  </si>
  <si>
    <t>Test Alternative Account</t>
  </si>
  <si>
    <t>Rental Income</t>
  </si>
  <si>
    <t>24431000</t>
  </si>
  <si>
    <t>24433000</t>
  </si>
  <si>
    <t>TUK2</t>
  </si>
  <si>
    <t>GBP</t>
  </si>
  <si>
    <t>150000</t>
  </si>
  <si>
    <t>testing</t>
  </si>
  <si>
    <t>ZC05</t>
  </si>
  <si>
    <t>40120000</t>
  </si>
  <si>
    <t>ZSKR</t>
  </si>
  <si>
    <t>CHF</t>
  </si>
  <si>
    <t>11100</t>
  </si>
  <si>
    <t>ZTES</t>
  </si>
  <si>
    <t>10000003</t>
  </si>
  <si>
    <t>700000</t>
  </si>
  <si>
    <t>31001</t>
  </si>
  <si>
    <t>200000031</t>
  </si>
  <si>
    <t>BBBB</t>
  </si>
  <si>
    <t>AAAA</t>
  </si>
  <si>
    <t>HSBC</t>
  </si>
  <si>
    <t>182</t>
  </si>
  <si>
    <t>1100000027</t>
  </si>
  <si>
    <t>240000001</t>
  </si>
  <si>
    <t>210000042</t>
  </si>
  <si>
    <t>220000021</t>
  </si>
  <si>
    <t>7018</t>
  </si>
  <si>
    <t>7022</t>
  </si>
  <si>
    <t>7020</t>
  </si>
  <si>
    <t>7023</t>
  </si>
  <si>
    <t>7025</t>
  </si>
  <si>
    <t>7026</t>
  </si>
  <si>
    <t>1100000030</t>
  </si>
  <si>
    <t>230000008</t>
  </si>
  <si>
    <t>14422</t>
  </si>
  <si>
    <t>1100000023</t>
  </si>
  <si>
    <t>1100000025</t>
  </si>
  <si>
    <t>1100000028</t>
  </si>
  <si>
    <t>1100000035</t>
  </si>
  <si>
    <t>1100000036</t>
  </si>
  <si>
    <t>1100000040</t>
  </si>
  <si>
    <t>1100000026</t>
  </si>
  <si>
    <t>499999</t>
  </si>
  <si>
    <t>6000002</t>
  </si>
  <si>
    <t>1003</t>
  </si>
  <si>
    <t>98</t>
  </si>
  <si>
    <t>400006</t>
  </si>
  <si>
    <t>400022</t>
  </si>
  <si>
    <t>169</t>
  </si>
  <si>
    <t>170</t>
  </si>
  <si>
    <t>200000004</t>
  </si>
  <si>
    <t>200000005</t>
  </si>
  <si>
    <t>50000</t>
  </si>
  <si>
    <t>1300</t>
  </si>
  <si>
    <t>200000010</t>
  </si>
  <si>
    <t>24</t>
  </si>
  <si>
    <t>200000012</t>
  </si>
  <si>
    <t>400005</t>
  </si>
  <si>
    <t>499998</t>
  </si>
  <si>
    <t>200000042</t>
  </si>
  <si>
    <t>4000010</t>
  </si>
  <si>
    <t>110000000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</si>
</sst>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seg_pay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gandhi006/Downloads/SHEET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R2" t="str">
            <v>24430000_TESTCUST_Sunny</v>
          </cell>
          <cell r="S2">
            <v>44896</v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>
            <v>0</v>
          </cell>
          <cell r="Z2" t="str">
            <v/>
          </cell>
          <cell r="AA2" t="str">
            <v/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 t="str">
            <v/>
          </cell>
          <cell r="AQ2" t="str">
            <v/>
          </cell>
          <cell r="AR2" t="str">
            <v/>
          </cell>
          <cell r="AU2" t="str">
            <v/>
          </cell>
          <cell r="AV2" t="str">
            <v>X</v>
          </cell>
          <cell r="AW2" t="str">
            <v/>
          </cell>
          <cell r="AX2">
            <v>44652</v>
          </cell>
        </row>
        <row r="3">
          <cell r="R3" t="str">
            <v>20000000_700000_Sunny</v>
          </cell>
          <cell r="S3" t="e">
            <v>#N/A</v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>
            <v>0</v>
          </cell>
          <cell r="Z3" t="str">
            <v/>
          </cell>
          <cell r="AA3" t="str">
            <v/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 t="str">
            <v/>
          </cell>
          <cell r="AQ3" t="str">
            <v/>
          </cell>
          <cell r="AR3" t="str">
            <v/>
          </cell>
          <cell r="AU3" t="str">
            <v/>
          </cell>
          <cell r="AV3" t="str">
            <v>X</v>
          </cell>
          <cell r="AW3" t="str">
            <v/>
          </cell>
          <cell r="AX3">
            <v>44452</v>
          </cell>
        </row>
        <row r="4">
          <cell r="R4" t="str">
            <v>24430000_165_Sunny</v>
          </cell>
          <cell r="S4">
            <v>43998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>
            <v>0</v>
          </cell>
          <cell r="Z4" t="str">
            <v/>
          </cell>
          <cell r="AA4" t="str">
            <v/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 t="str">
            <v/>
          </cell>
          <cell r="AQ4" t="str">
            <v/>
          </cell>
          <cell r="AR4" t="str">
            <v/>
          </cell>
          <cell r="AU4" t="str">
            <v/>
          </cell>
          <cell r="AV4" t="str">
            <v>X</v>
          </cell>
          <cell r="AW4" t="str">
            <v/>
          </cell>
          <cell r="AX4">
            <v>44584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R2" t="str">
            <v>2000000230000008DIPIKA</v>
          </cell>
          <cell r="S2">
            <v>44657</v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>
            <v>0</v>
          </cell>
          <cell r="Z2" t="str">
            <v/>
          </cell>
          <cell r="AA2" t="str">
            <v/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 t="str">
            <v/>
          </cell>
          <cell r="AQ2" t="str">
            <v/>
          </cell>
          <cell r="AR2" t="str">
            <v/>
          </cell>
          <cell r="AS2"/>
          <cell r="AT2"/>
          <cell r="AU2" t="str">
            <v/>
          </cell>
          <cell r="AV2" t="str">
            <v>X</v>
          </cell>
          <cell r="AW2" t="str">
            <v/>
          </cell>
          <cell r="AX2">
            <v>44640</v>
          </cell>
        </row>
        <row r="3">
          <cell r="R3" t="str">
            <v>2000000230000008DIPIKA</v>
          </cell>
          <cell r="S3">
            <v>44657</v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>
            <v>0</v>
          </cell>
          <cell r="Z3" t="str">
            <v/>
          </cell>
          <cell r="AA3" t="str">
            <v/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 t="str">
            <v/>
          </cell>
          <cell r="AQ3" t="str">
            <v/>
          </cell>
          <cell r="AR3" t="str">
            <v/>
          </cell>
          <cell r="AS3"/>
          <cell r="AT3"/>
          <cell r="AU3" t="str">
            <v/>
          </cell>
          <cell r="AV3" t="str">
            <v>X</v>
          </cell>
          <cell r="AW3" t="str">
            <v/>
          </cell>
          <cell r="AX3">
            <v>44640</v>
          </cell>
        </row>
        <row r="4">
          <cell r="R4" t="str">
            <v>2000000230000008DIPIKA</v>
          </cell>
          <cell r="S4">
            <v>44657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>
            <v>0</v>
          </cell>
          <cell r="Z4" t="str">
            <v/>
          </cell>
          <cell r="AA4" t="str">
            <v/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 t="str">
            <v/>
          </cell>
          <cell r="AQ4" t="str">
            <v/>
          </cell>
          <cell r="AR4" t="str">
            <v/>
          </cell>
          <cell r="AS4"/>
          <cell r="AT4"/>
          <cell r="AU4" t="str">
            <v/>
          </cell>
          <cell r="AV4" t="str">
            <v>X</v>
          </cell>
          <cell r="AW4" t="str">
            <v/>
          </cell>
          <cell r="AX4">
            <v>44640</v>
          </cell>
        </row>
        <row r="5">
          <cell r="R5" t="str">
            <v>2000000230000008DIPIKA</v>
          </cell>
          <cell r="S5">
            <v>44657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>
            <v>0</v>
          </cell>
          <cell r="Z5" t="str">
            <v/>
          </cell>
          <cell r="AA5" t="str">
            <v/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 t="str">
            <v/>
          </cell>
          <cell r="AQ5" t="str">
            <v/>
          </cell>
          <cell r="AR5" t="str">
            <v/>
          </cell>
          <cell r="AS5"/>
          <cell r="AT5"/>
          <cell r="AU5" t="str">
            <v/>
          </cell>
          <cell r="AV5" t="str">
            <v>X</v>
          </cell>
          <cell r="AW5" t="str">
            <v/>
          </cell>
          <cell r="AX5">
            <v>44640</v>
          </cell>
        </row>
        <row r="6">
          <cell r="R6" t="str">
            <v>2000000230000008DIPIKA</v>
          </cell>
          <cell r="S6">
            <v>44657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>
            <v>0</v>
          </cell>
          <cell r="Z6" t="str">
            <v/>
          </cell>
          <cell r="AA6" t="str">
            <v/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 t="str">
            <v/>
          </cell>
          <cell r="AQ6" t="str">
            <v/>
          </cell>
          <cell r="AR6" t="str">
            <v/>
          </cell>
          <cell r="AS6"/>
          <cell r="AT6"/>
          <cell r="AU6" t="str">
            <v/>
          </cell>
          <cell r="AV6" t="str">
            <v>X</v>
          </cell>
          <cell r="AW6" t="str">
            <v/>
          </cell>
          <cell r="AX6">
            <v>44642</v>
          </cell>
        </row>
        <row r="7">
          <cell r="R7" t="str">
            <v>2000000230000008DIPIKA</v>
          </cell>
          <cell r="S7">
            <v>44657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>
            <v>0</v>
          </cell>
          <cell r="Z7" t="str">
            <v/>
          </cell>
          <cell r="AA7" t="str">
            <v/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 t="str">
            <v/>
          </cell>
          <cell r="AQ7" t="str">
            <v/>
          </cell>
          <cell r="AR7" t="str">
            <v/>
          </cell>
          <cell r="AS7"/>
          <cell r="AT7"/>
          <cell r="AU7" t="str">
            <v/>
          </cell>
          <cell r="AV7" t="str">
            <v>X</v>
          </cell>
          <cell r="AW7" t="str">
            <v/>
          </cell>
          <cell r="AX7">
            <v>44642</v>
          </cell>
        </row>
        <row r="8">
          <cell r="R8" t="str">
            <v>2000000230000071DIPIKA</v>
          </cell>
          <cell r="S8">
            <v>44628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>
            <v>0</v>
          </cell>
          <cell r="Z8" t="str">
            <v/>
          </cell>
          <cell r="AA8" t="str">
            <v/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 t="str">
            <v/>
          </cell>
          <cell r="AQ8" t="str">
            <v/>
          </cell>
          <cell r="AR8" t="str">
            <v/>
          </cell>
          <cell r="AS8"/>
          <cell r="AT8"/>
          <cell r="AU8" t="str">
            <v>20220323</v>
          </cell>
          <cell r="AV8" t="str">
            <v>X</v>
          </cell>
          <cell r="AW8" t="str">
            <v/>
          </cell>
          <cell r="AX8">
            <v>44643</v>
          </cell>
        </row>
        <row r="9">
          <cell r="R9" t="str">
            <v>2000000230000008DIPIKA</v>
          </cell>
          <cell r="S9">
            <v>44657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>
            <v>0</v>
          </cell>
          <cell r="Z9" t="str">
            <v/>
          </cell>
          <cell r="AA9" t="str">
            <v/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 t="str">
            <v/>
          </cell>
          <cell r="AQ9" t="str">
            <v/>
          </cell>
          <cell r="AR9" t="str">
            <v/>
          </cell>
          <cell r="AS9"/>
          <cell r="AT9"/>
          <cell r="AU9" t="str">
            <v/>
          </cell>
          <cell r="AV9" t="str">
            <v>X</v>
          </cell>
          <cell r="AW9" t="str">
            <v/>
          </cell>
          <cell r="AX9">
            <v>44648</v>
          </cell>
        </row>
        <row r="10">
          <cell r="R10" t="str">
            <v>2000000230000008DIPIKA</v>
          </cell>
          <cell r="S10">
            <v>44657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>
            <v>0</v>
          </cell>
          <cell r="Z10" t="str">
            <v/>
          </cell>
          <cell r="AA10" t="str">
            <v/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 t="str">
            <v/>
          </cell>
          <cell r="AQ10" t="str">
            <v/>
          </cell>
          <cell r="AR10" t="str">
            <v/>
          </cell>
          <cell r="AS10"/>
          <cell r="AT10"/>
          <cell r="AU10" t="str">
            <v/>
          </cell>
          <cell r="AV10" t="str">
            <v>X</v>
          </cell>
          <cell r="AW10" t="str">
            <v/>
          </cell>
          <cell r="AX10">
            <v>44648</v>
          </cell>
        </row>
        <row r="11">
          <cell r="R11" t="str">
            <v>2000000230000008DIPIKA</v>
          </cell>
          <cell r="S11">
            <v>44657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>
            <v>0</v>
          </cell>
          <cell r="Z11" t="str">
            <v/>
          </cell>
          <cell r="AA11" t="str">
            <v/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str">
            <v/>
          </cell>
          <cell r="AQ11" t="str">
            <v/>
          </cell>
          <cell r="AR11" t="str">
            <v/>
          </cell>
          <cell r="AS11"/>
          <cell r="AT11"/>
          <cell r="AU11" t="str">
            <v/>
          </cell>
          <cell r="AV11" t="str">
            <v>X</v>
          </cell>
          <cell r="AW11" t="str">
            <v/>
          </cell>
          <cell r="AX11">
            <v>44649</v>
          </cell>
        </row>
        <row r="12">
          <cell r="R12" t="str">
            <v>2000000230000008DIPIKA</v>
          </cell>
          <cell r="S12">
            <v>44657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>
            <v>0</v>
          </cell>
          <cell r="Z12" t="str">
            <v/>
          </cell>
          <cell r="AA12" t="str">
            <v/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str">
            <v/>
          </cell>
          <cell r="AQ12" t="str">
            <v/>
          </cell>
          <cell r="AR12" t="str">
            <v/>
          </cell>
          <cell r="AS12"/>
          <cell r="AT12"/>
          <cell r="AU12" t="str">
            <v/>
          </cell>
          <cell r="AV12" t="str">
            <v>X</v>
          </cell>
          <cell r="AW12" t="str">
            <v/>
          </cell>
          <cell r="AX12">
            <v>44657</v>
          </cell>
        </row>
        <row r="13">
          <cell r="R13" t="str">
            <v>2000000230000008DIPIKA</v>
          </cell>
          <cell r="S13">
            <v>44657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>
            <v>0</v>
          </cell>
          <cell r="Z13" t="str">
            <v/>
          </cell>
          <cell r="AA13" t="str">
            <v/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str">
            <v/>
          </cell>
          <cell r="AQ13" t="str">
            <v/>
          </cell>
          <cell r="AR13" t="str">
            <v/>
          </cell>
          <cell r="AS13"/>
          <cell r="AT13"/>
          <cell r="AU13" t="str">
            <v/>
          </cell>
          <cell r="AV13" t="str">
            <v>X</v>
          </cell>
          <cell r="AW13" t="str">
            <v/>
          </cell>
          <cell r="AX13">
            <v>44658</v>
          </cell>
        </row>
        <row r="14">
          <cell r="R14" t="str">
            <v>2000000230000008DIPIKA</v>
          </cell>
          <cell r="S14">
            <v>44657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>
            <v>0</v>
          </cell>
          <cell r="Z14" t="str">
            <v/>
          </cell>
          <cell r="AA14" t="str">
            <v/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str">
            <v/>
          </cell>
          <cell r="AQ14" t="str">
            <v/>
          </cell>
          <cell r="AR14" t="str">
            <v/>
          </cell>
          <cell r="AS14"/>
          <cell r="AT14"/>
          <cell r="AU14" t="str">
            <v/>
          </cell>
          <cell r="AV14" t="str">
            <v>X</v>
          </cell>
          <cell r="AW14" t="str">
            <v/>
          </cell>
          <cell r="AX14">
            <v>44658</v>
          </cell>
        </row>
        <row r="15">
          <cell r="R15" t="str">
            <v>2000000230000008DIPIKA</v>
          </cell>
          <cell r="S15">
            <v>44657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>
            <v>0</v>
          </cell>
          <cell r="Z15" t="str">
            <v/>
          </cell>
          <cell r="AA15" t="str">
            <v/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str">
            <v/>
          </cell>
          <cell r="AQ15" t="str">
            <v/>
          </cell>
          <cell r="AR15" t="str">
            <v/>
          </cell>
          <cell r="AS15"/>
          <cell r="AT15"/>
          <cell r="AU15" t="str">
            <v>Test</v>
          </cell>
          <cell r="AV15" t="str">
            <v>X</v>
          </cell>
          <cell r="AW15" t="str">
            <v/>
          </cell>
          <cell r="AX15">
            <v>44750</v>
          </cell>
        </row>
        <row r="16">
          <cell r="R16" t="str">
            <v>2000000230000008DIPIKA</v>
          </cell>
          <cell r="S16">
            <v>44657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>
            <v>0</v>
          </cell>
          <cell r="Z16" t="str">
            <v/>
          </cell>
          <cell r="AA16" t="str">
            <v/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str">
            <v/>
          </cell>
          <cell r="AQ16" t="str">
            <v/>
          </cell>
          <cell r="AR16" t="str">
            <v/>
          </cell>
          <cell r="AS16"/>
          <cell r="AT16"/>
          <cell r="AU16" t="str">
            <v>100000095</v>
          </cell>
          <cell r="AV16" t="str">
            <v>X</v>
          </cell>
          <cell r="AW16" t="str">
            <v/>
          </cell>
          <cell r="AX16">
            <v>44763</v>
          </cell>
        </row>
        <row r="17">
          <cell r="R17" t="str">
            <v>2000000230000008DIPIKA</v>
          </cell>
          <cell r="S17">
            <v>44657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>
            <v>0</v>
          </cell>
          <cell r="Z17" t="str">
            <v/>
          </cell>
          <cell r="AA17" t="str">
            <v/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str">
            <v/>
          </cell>
          <cell r="AQ17" t="str">
            <v/>
          </cell>
          <cell r="AR17" t="str">
            <v/>
          </cell>
          <cell r="AS17"/>
          <cell r="AT17"/>
          <cell r="AU17" t="str">
            <v>1</v>
          </cell>
          <cell r="AV17" t="str">
            <v>X</v>
          </cell>
          <cell r="AW17" t="str">
            <v/>
          </cell>
          <cell r="AX17">
            <v>44763</v>
          </cell>
        </row>
        <row r="18">
          <cell r="R18" t="str">
            <v>1000099230000008DIPIKA</v>
          </cell>
          <cell r="S18" t="e">
            <v>#N/A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>
            <v>0</v>
          </cell>
          <cell r="Z18" t="str">
            <v/>
          </cell>
          <cell r="AA18" t="str">
            <v/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str">
            <v/>
          </cell>
          <cell r="AQ18" t="str">
            <v/>
          </cell>
          <cell r="AR18" t="str">
            <v/>
          </cell>
          <cell r="AS18"/>
          <cell r="AT18"/>
          <cell r="AU18" t="str">
            <v/>
          </cell>
          <cell r="AV18" t="str">
            <v>X</v>
          </cell>
          <cell r="AW18" t="str">
            <v/>
          </cell>
          <cell r="AX18">
            <v>44763</v>
          </cell>
        </row>
        <row r="19">
          <cell r="R19" t="str">
            <v>1000099230000008DIPIKA</v>
          </cell>
          <cell r="S19" t="e">
            <v>#N/A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>
            <v>0</v>
          </cell>
          <cell r="Z19" t="str">
            <v/>
          </cell>
          <cell r="AA19" t="str">
            <v/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str">
            <v/>
          </cell>
          <cell r="AQ19" t="str">
            <v/>
          </cell>
          <cell r="AR19" t="str">
            <v/>
          </cell>
          <cell r="AS19"/>
          <cell r="AT19"/>
          <cell r="AU19" t="str">
            <v/>
          </cell>
          <cell r="AV19" t="str">
            <v>X</v>
          </cell>
          <cell r="AW19" t="str">
            <v/>
          </cell>
          <cell r="AX19">
            <v>44957</v>
          </cell>
        </row>
        <row r="20">
          <cell r="R20" t="str">
            <v>2000000230000008DIPIKA</v>
          </cell>
          <cell r="S20">
            <v>44657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>
            <v>0</v>
          </cell>
          <cell r="Z20" t="str">
            <v/>
          </cell>
          <cell r="AA20" t="str">
            <v/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/>
          </cell>
          <cell r="AQ20" t="str">
            <v/>
          </cell>
          <cell r="AR20" t="str">
            <v/>
          </cell>
          <cell r="AS20"/>
          <cell r="AT20"/>
          <cell r="AU20" t="str">
            <v/>
          </cell>
          <cell r="AV20" t="str">
            <v>X</v>
          </cell>
          <cell r="AW20" t="str">
            <v/>
          </cell>
          <cell r="AX20">
            <v>44957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W317"/>
  <sheetViews>
    <sheetView tabSelected="1" topLeftCell="CR1" workbookViewId="0">
      <selection activeCell="CX28" sqref="CX28"/>
    </sheetView>
  </sheetViews>
  <sheetFormatPr defaultRowHeight="13.2" x14ac:dyDescent="0.25"/>
  <cols>
    <col min="1" max="1" width="14" bestFit="1" customWidth="1"/>
    <col min="2" max="2" width="17" bestFit="1" customWidth="1"/>
    <col min="3" max="3" width="13" bestFit="1" customWidth="1"/>
    <col min="4" max="4" width="11" bestFit="1" customWidth="1"/>
    <col min="5" max="5" width="13" bestFit="1" customWidth="1"/>
    <col min="6" max="6" width="9" bestFit="1" customWidth="1"/>
    <col min="7" max="7" width="11" bestFit="1" customWidth="1"/>
    <col min="8" max="8" width="17" bestFit="1" customWidth="1"/>
    <col min="9" max="9" width="11" bestFit="1" customWidth="1"/>
    <col min="10" max="10" width="6" bestFit="1" customWidth="1"/>
    <col min="11" max="11" width="11" bestFit="1" customWidth="1"/>
    <col min="12" max="12" width="15" bestFit="1" customWidth="1"/>
    <col min="13" max="13" width="13" bestFit="1" customWidth="1"/>
    <col min="14" max="14" width="25" bestFit="1" customWidth="1"/>
    <col min="15" max="15" width="13" bestFit="1" customWidth="1"/>
    <col min="16" max="16" width="21" bestFit="1" customWidth="1"/>
    <col min="17" max="17" width="13" bestFit="1" customWidth="1"/>
    <col min="18" max="18" width="28.77734375" customWidth="1"/>
    <col min="19" max="19" width="15" bestFit="1" customWidth="1"/>
    <col min="20" max="20" width="20" bestFit="1" customWidth="1"/>
    <col min="21" max="21" width="12" bestFit="1" customWidth="1"/>
    <col min="22" max="23" width="22" bestFit="1" customWidth="1"/>
    <col min="24" max="24" width="15" bestFit="1" customWidth="1"/>
    <col min="25" max="25" width="6" bestFit="1" customWidth="1"/>
    <col min="26" max="26" width="20" bestFit="1" customWidth="1"/>
    <col min="27" max="27" width="25" bestFit="1" customWidth="1"/>
    <col min="28" max="39" width="8" bestFit="1" customWidth="1"/>
    <col min="40" max="40" width="15" bestFit="1" customWidth="1"/>
    <col min="41" max="41" width="6" bestFit="1" customWidth="1"/>
    <col min="42" max="42" width="18" bestFit="1" customWidth="1"/>
    <col min="43" max="43" width="7" bestFit="1" customWidth="1"/>
    <col min="44" max="44" width="24" bestFit="1" customWidth="1"/>
    <col min="45" max="46" width="18" bestFit="1" customWidth="1"/>
    <col min="47" max="47" width="12" bestFit="1" customWidth="1"/>
    <col min="48" max="48" width="13" bestFit="1" customWidth="1"/>
    <col min="49" max="50" width="22" bestFit="1" customWidth="1"/>
    <col min="51" max="51" width="16" bestFit="1" customWidth="1"/>
    <col min="52" max="52" width="18" bestFit="1" customWidth="1"/>
    <col min="53" max="53" width="19" bestFit="1" customWidth="1"/>
    <col min="54" max="55" width="13" bestFit="1" customWidth="1"/>
    <col min="56" max="56" width="26" bestFit="1" customWidth="1"/>
    <col min="57" max="57" width="21" bestFit="1" customWidth="1"/>
    <col min="58" max="60" width="22" bestFit="1" customWidth="1"/>
    <col min="61" max="63" width="21" bestFit="1" customWidth="1"/>
    <col min="64" max="64" width="16" bestFit="1" customWidth="1"/>
    <col min="65" max="65" width="13" bestFit="1" customWidth="1"/>
    <col min="66" max="67" width="15" bestFit="1" customWidth="1"/>
    <col min="68" max="68" width="6" bestFit="1" customWidth="1"/>
    <col min="69" max="69" width="18" bestFit="1" customWidth="1"/>
    <col min="70" max="71" width="22" bestFit="1" customWidth="1"/>
    <col min="72" max="72" width="21" bestFit="1" customWidth="1"/>
    <col min="73" max="73" width="14" bestFit="1" customWidth="1"/>
    <col min="74" max="74" width="20" bestFit="1" customWidth="1"/>
    <col min="75" max="75" width="11" bestFit="1" customWidth="1"/>
    <col min="76" max="77" width="6" bestFit="1" customWidth="1"/>
    <col min="78" max="78" width="11" bestFit="1" customWidth="1"/>
    <col min="79" max="79" width="19" bestFit="1" customWidth="1"/>
    <col min="80" max="80" width="13" bestFit="1" customWidth="1"/>
    <col min="81" max="81" width="15" bestFit="1" customWidth="1"/>
    <col min="82" max="82" width="19" bestFit="1" customWidth="1"/>
    <col min="83" max="83" width="21" bestFit="1" customWidth="1"/>
    <col min="84" max="84" width="14" bestFit="1" customWidth="1"/>
    <col min="85" max="85" width="9" bestFit="1" customWidth="1"/>
    <col min="86" max="86" width="36" bestFit="1" customWidth="1"/>
    <col min="87" max="87" width="8" bestFit="1" customWidth="1"/>
    <col min="88" max="88" width="12" bestFit="1" customWidth="1"/>
    <col min="89" max="89" width="17" bestFit="1" customWidth="1"/>
    <col min="90" max="91" width="14" bestFit="1" customWidth="1"/>
    <col min="92" max="92" width="21" bestFit="1" customWidth="1"/>
    <col min="93" max="93" width="17" bestFit="1" customWidth="1"/>
    <col min="94" max="94" width="15" bestFit="1" customWidth="1"/>
    <col min="95" max="95" width="6" bestFit="1" customWidth="1"/>
    <col min="96" max="96" width="14" bestFit="1" customWidth="1"/>
    <col min="97" max="97" width="13" bestFit="1" customWidth="1"/>
    <col min="98" max="98" width="9" bestFit="1" customWidth="1"/>
    <col min="99" max="99" width="20" bestFit="1" customWidth="1"/>
    <col min="100" max="100" width="6" bestFit="1" customWidth="1"/>
    <col min="101" max="101" width="10" bestFit="1" customWidth="1"/>
    <col min="102" max="102" width="14" bestFit="1" customWidth="1"/>
    <col min="103" max="103" width="16" bestFit="1" customWidth="1"/>
    <col min="104" max="104" width="12" bestFit="1" customWidth="1"/>
    <col min="105" max="105" width="14" bestFit="1" customWidth="1"/>
    <col min="106" max="106" width="20" bestFit="1" customWidth="1"/>
    <col min="107" max="107" width="13" bestFit="1" customWidth="1"/>
    <col min="108" max="109" width="8" bestFit="1" customWidth="1"/>
    <col min="110" max="111" width="10" bestFit="1" customWidth="1"/>
    <col min="112" max="112" width="20" bestFit="1" customWidth="1"/>
    <col min="113" max="113" width="21" bestFit="1" customWidth="1"/>
    <col min="114" max="117" width="6" bestFit="1" customWidth="1"/>
    <col min="118" max="119" width="15" bestFit="1" customWidth="1"/>
    <col min="120" max="121" width="16" bestFit="1" customWidth="1"/>
    <col min="122" max="122" width="11" bestFit="1" customWidth="1"/>
    <col min="123" max="123" width="14" bestFit="1" customWidth="1"/>
    <col min="124" max="124" width="19" bestFit="1" customWidth="1"/>
    <col min="125" max="125" width="15" bestFit="1" customWidth="1"/>
    <col min="126" max="126" width="9" bestFit="1" customWidth="1"/>
    <col min="127" max="127" width="22" bestFit="1" customWidth="1"/>
    <col min="128" max="128" width="17" bestFit="1" customWidth="1"/>
    <col min="129" max="129" width="10" bestFit="1" customWidth="1"/>
    <col min="130" max="130" width="8" bestFit="1" customWidth="1"/>
    <col min="131" max="131" width="28" bestFit="1" customWidth="1"/>
    <col min="132" max="132" width="14" bestFit="1" customWidth="1"/>
    <col min="133" max="133" width="9" bestFit="1" customWidth="1"/>
    <col min="134" max="134" width="13" bestFit="1" customWidth="1"/>
    <col min="135" max="135" width="9" bestFit="1" customWidth="1"/>
    <col min="136" max="136" width="17" bestFit="1" customWidth="1"/>
    <col min="137" max="137" width="18" bestFit="1" customWidth="1"/>
    <col min="138" max="138" width="21" bestFit="1" customWidth="1"/>
    <col min="139" max="139" width="22" bestFit="1" customWidth="1"/>
    <col min="140" max="140" width="7" bestFit="1" customWidth="1"/>
    <col min="141" max="147" width="12" bestFit="1" customWidth="1"/>
    <col min="148" max="148" width="14" bestFit="1" customWidth="1"/>
    <col min="149" max="149" width="13" bestFit="1" customWidth="1"/>
    <col min="150" max="150" width="20" bestFit="1" customWidth="1"/>
    <col min="151" max="151" width="17" bestFit="1" customWidth="1"/>
    <col min="152" max="152" width="15" bestFit="1" customWidth="1"/>
    <col min="153" max="154" width="19" bestFit="1" customWidth="1"/>
    <col min="155" max="156" width="6" bestFit="1" customWidth="1"/>
    <col min="157" max="157" width="18" bestFit="1" customWidth="1"/>
    <col min="158" max="158" width="34" bestFit="1" customWidth="1"/>
    <col min="159" max="159" width="20" bestFit="1" customWidth="1"/>
    <col min="160" max="163" width="11" bestFit="1" customWidth="1"/>
    <col min="164" max="164" width="12" bestFit="1" customWidth="1"/>
    <col min="165" max="165" width="13" bestFit="1" customWidth="1"/>
    <col min="166" max="166" width="7" bestFit="1" customWidth="1"/>
    <col min="167" max="168" width="11" bestFit="1" customWidth="1"/>
    <col min="169" max="169" width="30" bestFit="1" customWidth="1"/>
    <col min="170" max="170" width="14" bestFit="1" customWidth="1"/>
    <col min="171" max="171" width="23" bestFit="1" customWidth="1"/>
    <col min="172" max="172" width="19" bestFit="1" customWidth="1"/>
    <col min="173" max="173" width="21" bestFit="1" customWidth="1"/>
    <col min="174" max="174" width="6" bestFit="1" customWidth="1"/>
    <col min="175" max="176" width="17" bestFit="1" customWidth="1"/>
    <col min="177" max="177" width="6" bestFit="1" customWidth="1"/>
    <col min="178" max="178" width="16" bestFit="1" customWidth="1"/>
    <col min="179" max="179" width="14" bestFit="1" customWidth="1"/>
    <col min="180" max="180" width="17" bestFit="1" customWidth="1"/>
    <col min="181" max="181" width="19" bestFit="1" customWidth="1"/>
    <col min="182" max="183" width="7" bestFit="1" customWidth="1"/>
    <col min="184" max="185" width="6" bestFit="1" customWidth="1"/>
    <col min="186" max="186" width="13" bestFit="1" customWidth="1"/>
    <col min="187" max="187" width="14" bestFit="1" customWidth="1"/>
    <col min="188" max="188" width="7" bestFit="1" customWidth="1"/>
    <col min="189" max="189" width="22" bestFit="1" customWidth="1"/>
    <col min="190" max="190" width="10" bestFit="1" customWidth="1"/>
    <col min="191" max="194" width="15" bestFit="1" customWidth="1"/>
    <col min="195" max="195" width="22" bestFit="1" customWidth="1"/>
    <col min="196" max="196" width="12" bestFit="1" customWidth="1"/>
    <col min="197" max="197" width="26" bestFit="1" customWidth="1"/>
    <col min="198" max="199" width="20" bestFit="1" customWidth="1"/>
    <col min="200" max="201" width="42" bestFit="1" customWidth="1"/>
    <col min="202" max="202" width="36" bestFit="1" customWidth="1"/>
    <col min="203" max="203" width="19" bestFit="1" customWidth="1"/>
    <col min="204" max="204" width="42" bestFit="1" customWidth="1"/>
    <col min="205" max="205" width="14" bestFit="1" customWidth="1"/>
    <col min="206" max="206" width="17" bestFit="1" customWidth="1"/>
    <col min="207" max="210" width="11" bestFit="1" customWidth="1"/>
    <col min="211" max="211" width="16" bestFit="1" customWidth="1"/>
    <col min="212" max="212" width="21" bestFit="1" customWidth="1"/>
    <col min="213" max="213" width="16" bestFit="1" customWidth="1"/>
    <col min="214" max="214" width="15" bestFit="1" customWidth="1"/>
    <col min="215" max="215" width="9" bestFit="1" customWidth="1"/>
    <col min="216" max="216" width="19" bestFit="1" customWidth="1"/>
    <col min="217" max="217" width="15" bestFit="1" customWidth="1"/>
    <col min="218" max="218" width="6" bestFit="1" customWidth="1"/>
    <col min="219" max="219" width="25" bestFit="1" customWidth="1"/>
    <col min="220" max="220" width="6" bestFit="1" customWidth="1"/>
    <col min="221" max="221" width="13" bestFit="1" customWidth="1"/>
    <col min="222" max="222" width="15" bestFit="1" customWidth="1"/>
    <col min="223" max="223" width="22" bestFit="1" customWidth="1"/>
    <col min="224" max="224" width="13" bestFit="1" customWidth="1"/>
    <col min="225" max="225" width="14" bestFit="1" customWidth="1"/>
    <col min="226" max="226" width="15" bestFit="1" customWidth="1"/>
    <col min="227" max="227" width="13" bestFit="1" customWidth="1"/>
    <col min="228" max="228" width="12" bestFit="1" customWidth="1"/>
    <col min="229" max="231" width="6" bestFit="1" customWidth="1"/>
    <col min="232" max="232" width="12" bestFit="1" customWidth="1"/>
    <col min="233" max="235" width="6" bestFit="1" customWidth="1"/>
    <col min="236" max="237" width="11" bestFit="1" customWidth="1"/>
    <col min="238" max="238" width="33" bestFit="1" customWidth="1"/>
    <col min="239" max="239" width="16" bestFit="1" customWidth="1"/>
    <col min="240" max="240" width="14" bestFit="1" customWidth="1"/>
    <col min="241" max="241" width="16" bestFit="1" customWidth="1"/>
    <col min="242" max="242" width="5" bestFit="1" customWidth="1"/>
    <col min="243" max="244" width="12" bestFit="1" customWidth="1"/>
    <col min="245" max="245" width="20" bestFit="1" customWidth="1"/>
    <col min="246" max="246" width="19" bestFit="1" customWidth="1"/>
    <col min="247" max="247" width="22" bestFit="1" customWidth="1"/>
    <col min="248" max="248" width="20" bestFit="1" customWidth="1"/>
    <col min="249" max="249" width="10" bestFit="1" customWidth="1"/>
    <col min="250" max="250" width="23" bestFit="1" customWidth="1"/>
    <col min="251" max="251" width="22" bestFit="1" customWidth="1"/>
    <col min="252" max="252" width="18" bestFit="1" customWidth="1"/>
    <col min="253" max="253" width="14" bestFit="1" customWidth="1"/>
    <col min="254" max="254" width="15" bestFit="1" customWidth="1"/>
    <col min="255" max="255" width="9" bestFit="1" customWidth="1"/>
    <col min="256" max="256" width="11" bestFit="1" customWidth="1"/>
    <col min="257" max="258" width="6" bestFit="1" customWidth="1"/>
    <col min="259" max="259" width="12" bestFit="1" customWidth="1"/>
    <col min="260" max="260" width="20" bestFit="1" customWidth="1"/>
    <col min="261" max="262" width="10" bestFit="1" customWidth="1"/>
    <col min="263" max="263" width="14" bestFit="1" customWidth="1"/>
    <col min="264" max="265" width="15" bestFit="1" customWidth="1"/>
    <col min="266" max="266" width="32" bestFit="1" customWidth="1"/>
    <col min="267" max="268" width="13" bestFit="1" customWidth="1"/>
    <col min="269" max="269" width="7" bestFit="1" customWidth="1"/>
    <col min="270" max="270" width="21" bestFit="1" customWidth="1"/>
    <col min="271" max="271" width="18" bestFit="1" customWidth="1"/>
    <col min="272" max="272" width="14" bestFit="1" customWidth="1"/>
    <col min="273" max="273" width="9" bestFit="1" customWidth="1"/>
    <col min="274" max="275" width="16" bestFit="1" customWidth="1"/>
    <col min="276" max="276" width="22" bestFit="1" customWidth="1"/>
    <col min="277" max="278" width="18" bestFit="1" customWidth="1"/>
    <col min="279" max="279" width="16" bestFit="1" customWidth="1"/>
    <col min="280" max="280" width="9" bestFit="1" customWidth="1"/>
    <col min="281" max="281" width="20" bestFit="1" customWidth="1"/>
    <col min="282" max="282" width="14" bestFit="1" customWidth="1"/>
    <col min="283" max="283" width="15" bestFit="1" customWidth="1"/>
    <col min="284" max="284" width="20" bestFit="1" customWidth="1"/>
    <col min="285" max="285" width="17" bestFit="1" customWidth="1"/>
    <col min="286" max="286" width="10" bestFit="1" customWidth="1"/>
    <col min="287" max="287" width="6" bestFit="1" customWidth="1"/>
    <col min="288" max="288" width="15" bestFit="1" customWidth="1"/>
    <col min="289" max="289" width="11" bestFit="1" customWidth="1"/>
    <col min="290" max="290" width="21" bestFit="1" customWidth="1"/>
    <col min="291" max="291" width="16" bestFit="1" customWidth="1"/>
    <col min="292" max="292" width="25" bestFit="1" customWidth="1"/>
    <col min="293" max="293" width="41" bestFit="1" customWidth="1"/>
    <col min="294" max="294" width="19" bestFit="1" customWidth="1"/>
    <col min="295" max="295" width="14" bestFit="1" customWidth="1"/>
    <col min="296" max="296" width="26" bestFit="1" customWidth="1"/>
    <col min="297" max="297" width="15" bestFit="1" customWidth="1"/>
    <col min="298" max="298" width="16" bestFit="1" customWidth="1"/>
    <col min="299" max="302" width="6" bestFit="1" customWidth="1"/>
    <col min="303" max="303" width="12" bestFit="1" customWidth="1"/>
    <col min="304" max="304" width="6" bestFit="1" customWidth="1"/>
    <col min="305" max="305" width="11" bestFit="1" customWidth="1"/>
    <col min="306" max="306" width="16" bestFit="1" customWidth="1"/>
    <col min="307" max="307" width="15" bestFit="1" customWidth="1"/>
    <col min="308" max="309" width="10" bestFit="1" customWidth="1"/>
    <col min="310" max="310" width="7" bestFit="1" customWidth="1"/>
    <col min="311" max="311" width="6" bestFit="1" customWidth="1"/>
    <col min="312" max="312" width="15" bestFit="1" customWidth="1"/>
    <col min="313" max="313" width="22" bestFit="1" customWidth="1"/>
    <col min="314" max="314" width="10" bestFit="1" customWidth="1"/>
    <col min="315" max="315" width="19" bestFit="1" customWidth="1"/>
    <col min="316" max="316" width="14" bestFit="1" customWidth="1"/>
    <col min="317" max="317" width="10" bestFit="1" customWidth="1"/>
    <col min="318" max="318" width="18" bestFit="1" customWidth="1"/>
    <col min="319" max="319" width="14" bestFit="1" customWidth="1"/>
    <col min="320" max="320" width="6" bestFit="1" customWidth="1"/>
    <col min="321" max="321" width="15" bestFit="1" customWidth="1"/>
    <col min="322" max="322" width="12" bestFit="1" customWidth="1"/>
    <col min="323" max="323" width="18" bestFit="1" customWidth="1"/>
    <col min="324" max="324" width="12" bestFit="1" customWidth="1"/>
    <col min="325" max="325" width="20" bestFit="1" customWidth="1"/>
    <col min="326" max="326" width="21" bestFit="1" customWidth="1"/>
    <col min="327" max="327" width="13" bestFit="1" customWidth="1"/>
    <col min="328" max="328" width="7" bestFit="1" customWidth="1"/>
    <col min="329" max="329" width="10" bestFit="1" customWidth="1"/>
    <col min="330" max="330" width="19" bestFit="1" customWidth="1"/>
    <col min="331" max="331" width="18" bestFit="1" customWidth="1"/>
    <col min="332" max="332" width="17" bestFit="1" customWidth="1"/>
    <col min="333" max="333" width="13" bestFit="1" customWidth="1"/>
    <col min="334" max="334" width="22" bestFit="1" customWidth="1"/>
    <col min="335" max="335" width="20" bestFit="1" customWidth="1"/>
    <col min="336" max="336" width="16" bestFit="1" customWidth="1"/>
    <col min="337" max="339" width="17" bestFit="1" customWidth="1"/>
    <col min="340" max="340" width="6" bestFit="1" customWidth="1"/>
    <col min="341" max="341" width="15" bestFit="1" customWidth="1"/>
    <col min="342" max="342" width="11" bestFit="1" customWidth="1"/>
    <col min="343" max="343" width="16" bestFit="1" customWidth="1"/>
    <col min="344" max="344" width="12" bestFit="1" customWidth="1"/>
    <col min="345" max="345" width="9" bestFit="1" customWidth="1"/>
    <col min="346" max="346" width="15" bestFit="1" customWidth="1"/>
    <col min="347" max="347" width="13" bestFit="1" customWidth="1"/>
    <col min="348" max="348" width="14" bestFit="1" customWidth="1"/>
    <col min="349" max="349" width="20" bestFit="1" customWidth="1"/>
    <col min="350" max="350" width="9" bestFit="1" customWidth="1"/>
    <col min="351" max="351" width="15" bestFit="1" customWidth="1"/>
    <col min="352" max="352" width="10" bestFit="1" customWidth="1"/>
    <col min="353" max="353" width="19" bestFit="1" customWidth="1"/>
    <col min="354" max="354" width="16" bestFit="1" customWidth="1"/>
    <col min="355" max="355" width="10" bestFit="1" customWidth="1"/>
    <col min="356" max="357" width="20" bestFit="1" customWidth="1"/>
    <col min="358" max="359" width="18" bestFit="1" customWidth="1"/>
    <col min="360" max="360" width="7" bestFit="1" customWidth="1"/>
    <col min="361" max="361" width="24" bestFit="1" customWidth="1"/>
    <col min="362" max="363" width="12" bestFit="1" customWidth="1"/>
    <col min="364" max="364" width="11" bestFit="1" customWidth="1"/>
    <col min="365" max="365" width="22" bestFit="1" customWidth="1"/>
    <col min="366" max="366" width="19" bestFit="1" customWidth="1"/>
    <col min="367" max="367" width="11" bestFit="1" customWidth="1"/>
    <col min="368" max="368" width="19" bestFit="1" customWidth="1"/>
    <col min="369" max="369" width="20" bestFit="1" customWidth="1"/>
    <col min="370" max="370" width="16" bestFit="1" customWidth="1"/>
    <col min="371" max="371" width="12" bestFit="1" customWidth="1"/>
    <col min="372" max="372" width="6" bestFit="1" customWidth="1"/>
    <col min="373" max="376" width="10" bestFit="1" customWidth="1"/>
    <col min="377" max="377" width="18" bestFit="1" customWidth="1"/>
    <col min="378" max="378" width="13" bestFit="1" customWidth="1"/>
    <col min="379" max="379" width="18" bestFit="1" customWidth="1"/>
    <col min="380" max="380" width="16" bestFit="1" customWidth="1"/>
    <col min="381" max="381" width="14" bestFit="1" customWidth="1"/>
    <col min="382" max="382" width="20" bestFit="1" customWidth="1"/>
    <col min="383" max="383" width="10" bestFit="1" customWidth="1"/>
    <col min="384" max="384" width="17" bestFit="1" customWidth="1"/>
    <col min="385" max="385" width="6" bestFit="1" customWidth="1"/>
    <col min="386" max="387" width="18" bestFit="1" customWidth="1"/>
    <col min="388" max="388" width="13" bestFit="1" customWidth="1"/>
    <col min="389" max="389" width="23" bestFit="1" customWidth="1"/>
    <col min="390" max="390" width="24" bestFit="1" customWidth="1"/>
    <col min="391" max="392" width="15" bestFit="1" customWidth="1"/>
    <col min="393" max="393" width="22" bestFit="1" customWidth="1"/>
    <col min="394" max="395" width="16" bestFit="1" customWidth="1"/>
    <col min="396" max="396" width="14" bestFit="1" customWidth="1"/>
    <col min="397" max="398" width="15" bestFit="1" customWidth="1"/>
    <col min="399" max="399" width="16" bestFit="1" customWidth="1"/>
    <col min="400" max="400" width="13" bestFit="1" customWidth="1"/>
    <col min="401" max="401" width="14" bestFit="1" customWidth="1"/>
    <col min="402" max="402" width="17" bestFit="1" customWidth="1"/>
    <col min="403" max="403" width="22" bestFit="1" customWidth="1"/>
    <col min="404" max="404" width="26" bestFit="1" customWidth="1"/>
    <col min="405" max="405" width="16" bestFit="1" customWidth="1"/>
    <col min="406" max="406" width="13" bestFit="1" customWidth="1"/>
    <col min="407" max="407" width="6" bestFit="1" customWidth="1"/>
    <col min="408" max="408" width="14" bestFit="1" customWidth="1"/>
    <col min="409" max="409" width="22" bestFit="1" customWidth="1"/>
    <col min="410" max="411" width="6" bestFit="1" customWidth="1"/>
    <col min="412" max="412" width="21" bestFit="1" customWidth="1"/>
    <col min="413" max="413" width="11" bestFit="1" customWidth="1"/>
  </cols>
  <sheetData>
    <row r="1" spans="1:413" ht="73.2" customHeight="1" x14ac:dyDescent="0.2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7" t="s">
        <v>139</v>
      </c>
      <c r="G1" s="7" t="s">
        <v>140</v>
      </c>
      <c r="H1" s="1" t="s">
        <v>141</v>
      </c>
      <c r="I1" s="1" t="s">
        <v>142</v>
      </c>
      <c r="J1" s="7" t="s">
        <v>143</v>
      </c>
      <c r="K1" s="7" t="s">
        <v>144</v>
      </c>
      <c r="L1" s="7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7" t="s">
        <v>158</v>
      </c>
      <c r="Z1" s="1" t="s">
        <v>159</v>
      </c>
      <c r="AA1" s="1" t="s">
        <v>160</v>
      </c>
      <c r="AB1" s="1" t="s">
        <v>142</v>
      </c>
      <c r="AC1" s="1" t="s">
        <v>142</v>
      </c>
      <c r="AD1" s="1" t="s">
        <v>142</v>
      </c>
      <c r="AE1" s="1" t="s">
        <v>142</v>
      </c>
      <c r="AF1" s="1" t="s">
        <v>142</v>
      </c>
      <c r="AG1" s="1" t="s">
        <v>142</v>
      </c>
      <c r="AH1" s="1" t="s">
        <v>142</v>
      </c>
      <c r="AI1" s="1" t="s">
        <v>142</v>
      </c>
      <c r="AJ1" s="1" t="s">
        <v>142</v>
      </c>
      <c r="AK1" s="1" t="s">
        <v>142</v>
      </c>
      <c r="AL1" s="1" t="s">
        <v>142</v>
      </c>
      <c r="AM1" s="1" t="s">
        <v>142</v>
      </c>
      <c r="AN1" s="1" t="s">
        <v>161</v>
      </c>
      <c r="AO1" s="7" t="s">
        <v>141</v>
      </c>
      <c r="AP1" s="1" t="s">
        <v>162</v>
      </c>
      <c r="AQ1" s="1" t="s">
        <v>163</v>
      </c>
      <c r="AR1" s="1" t="s">
        <v>164</v>
      </c>
      <c r="AS1" s="1" t="s">
        <v>165</v>
      </c>
      <c r="AT1" s="1" t="s">
        <v>165</v>
      </c>
      <c r="AU1" s="1" t="s">
        <v>166</v>
      </c>
      <c r="AV1" s="7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7" t="s">
        <v>173</v>
      </c>
      <c r="BC1" s="7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7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7" t="s">
        <v>192</v>
      </c>
      <c r="BV1" s="1" t="s">
        <v>193</v>
      </c>
      <c r="BW1" s="1" t="s">
        <v>194</v>
      </c>
      <c r="BX1" s="7" t="s">
        <v>195</v>
      </c>
      <c r="BY1" s="7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  <c r="CD1" s="1" t="s">
        <v>201</v>
      </c>
      <c r="CE1" s="1" t="s">
        <v>202</v>
      </c>
      <c r="CF1" s="7" t="s">
        <v>203</v>
      </c>
      <c r="CG1" s="7" t="s">
        <v>204</v>
      </c>
      <c r="CH1" s="1" t="s">
        <v>205</v>
      </c>
      <c r="CI1" s="1" t="s">
        <v>206</v>
      </c>
      <c r="CJ1" s="7" t="s">
        <v>207</v>
      </c>
      <c r="CK1" s="1" t="s">
        <v>208</v>
      </c>
      <c r="CL1" s="1" t="s">
        <v>134</v>
      </c>
      <c r="CM1" s="1" t="s">
        <v>134</v>
      </c>
      <c r="CN1" s="1" t="s">
        <v>209</v>
      </c>
      <c r="CO1" s="1" t="s">
        <v>210</v>
      </c>
      <c r="CP1" s="1" t="s">
        <v>211</v>
      </c>
      <c r="CQ1" s="7" t="s">
        <v>212</v>
      </c>
      <c r="CR1" s="1" t="s">
        <v>213</v>
      </c>
      <c r="CS1" s="1" t="s">
        <v>214</v>
      </c>
      <c r="CT1" s="1" t="s">
        <v>215</v>
      </c>
      <c r="CU1" s="1" t="s">
        <v>216</v>
      </c>
      <c r="CV1" s="7" t="s">
        <v>217</v>
      </c>
      <c r="CW1" s="1" t="s">
        <v>218</v>
      </c>
      <c r="CX1" s="1" t="s">
        <v>219</v>
      </c>
      <c r="CY1" s="1" t="s">
        <v>220</v>
      </c>
      <c r="CZ1" s="1" t="s">
        <v>221</v>
      </c>
      <c r="DA1" s="1" t="s">
        <v>222</v>
      </c>
      <c r="DB1" s="1" t="s">
        <v>223</v>
      </c>
      <c r="DC1" s="7" t="s">
        <v>224</v>
      </c>
      <c r="DD1" s="1" t="s">
        <v>225</v>
      </c>
      <c r="DE1" s="1" t="s">
        <v>226</v>
      </c>
      <c r="DF1" s="7" t="s">
        <v>227</v>
      </c>
      <c r="DG1" s="1" t="s">
        <v>228</v>
      </c>
      <c r="DH1" s="1" t="s">
        <v>229</v>
      </c>
      <c r="DI1" s="1" t="s">
        <v>230</v>
      </c>
      <c r="DJ1" s="7" t="s">
        <v>231</v>
      </c>
      <c r="DK1" s="7" t="s">
        <v>232</v>
      </c>
      <c r="DL1" s="7" t="s">
        <v>232</v>
      </c>
      <c r="DM1" s="7" t="s">
        <v>232</v>
      </c>
      <c r="DN1" s="7" t="s">
        <v>233</v>
      </c>
      <c r="DO1" s="7" t="s">
        <v>234</v>
      </c>
      <c r="DP1" s="1" t="s">
        <v>235</v>
      </c>
      <c r="DQ1" s="1" t="s">
        <v>236</v>
      </c>
      <c r="DR1" s="7" t="s">
        <v>237</v>
      </c>
      <c r="DS1" s="1" t="s">
        <v>238</v>
      </c>
      <c r="DT1" s="1" t="s">
        <v>239</v>
      </c>
      <c r="DU1" s="1" t="s">
        <v>240</v>
      </c>
      <c r="DV1" s="7" t="s">
        <v>241</v>
      </c>
      <c r="DW1" s="7" t="s">
        <v>242</v>
      </c>
      <c r="DX1" s="1" t="s">
        <v>243</v>
      </c>
      <c r="DY1" s="7" t="s">
        <v>244</v>
      </c>
      <c r="DZ1" s="1" t="s">
        <v>245</v>
      </c>
      <c r="EA1" s="1" t="s">
        <v>246</v>
      </c>
      <c r="EB1" s="1" t="s">
        <v>247</v>
      </c>
      <c r="EC1" s="7" t="s">
        <v>248</v>
      </c>
      <c r="ED1" s="1" t="s">
        <v>249</v>
      </c>
      <c r="EE1" s="7" t="s">
        <v>250</v>
      </c>
      <c r="EF1" s="1" t="s">
        <v>251</v>
      </c>
      <c r="EG1" s="1" t="s">
        <v>252</v>
      </c>
      <c r="EH1" s="1" t="s">
        <v>253</v>
      </c>
      <c r="EI1" s="1" t="s">
        <v>254</v>
      </c>
      <c r="EJ1" s="7" t="s">
        <v>255</v>
      </c>
      <c r="EK1" s="1" t="s">
        <v>256</v>
      </c>
      <c r="EL1" s="1" t="s">
        <v>257</v>
      </c>
      <c r="EM1" s="1" t="s">
        <v>258</v>
      </c>
      <c r="EN1" s="1" t="s">
        <v>259</v>
      </c>
      <c r="EO1" s="1" t="s">
        <v>260</v>
      </c>
      <c r="EP1" s="1" t="s">
        <v>261</v>
      </c>
      <c r="EQ1" s="1" t="s">
        <v>262</v>
      </c>
      <c r="ER1" s="1" t="s">
        <v>263</v>
      </c>
      <c r="ES1" s="1" t="s">
        <v>264</v>
      </c>
      <c r="ET1" s="1" t="s">
        <v>265</v>
      </c>
      <c r="EU1" s="1" t="s">
        <v>266</v>
      </c>
      <c r="EV1" s="1" t="s">
        <v>267</v>
      </c>
      <c r="EW1" s="1" t="s">
        <v>268</v>
      </c>
      <c r="EX1" s="1" t="s">
        <v>268</v>
      </c>
      <c r="EY1" s="7" t="s">
        <v>269</v>
      </c>
      <c r="EZ1" s="7" t="s">
        <v>270</v>
      </c>
      <c r="FA1" s="1" t="s">
        <v>271</v>
      </c>
      <c r="FB1" s="1" t="s">
        <v>272</v>
      </c>
      <c r="FC1" s="1" t="s">
        <v>273</v>
      </c>
      <c r="FD1" s="1" t="s">
        <v>274</v>
      </c>
      <c r="FE1" s="1" t="s">
        <v>274</v>
      </c>
      <c r="FF1" s="1" t="s">
        <v>274</v>
      </c>
      <c r="FG1" s="7" t="s">
        <v>275</v>
      </c>
      <c r="FH1" s="1" t="s">
        <v>276</v>
      </c>
      <c r="FI1" s="1" t="s">
        <v>136</v>
      </c>
      <c r="FJ1" s="1" t="s">
        <v>277</v>
      </c>
      <c r="FK1" s="1" t="s">
        <v>278</v>
      </c>
      <c r="FL1" s="1" t="s">
        <v>278</v>
      </c>
      <c r="FM1" s="1" t="s">
        <v>279</v>
      </c>
      <c r="FN1" s="7" t="s">
        <v>280</v>
      </c>
      <c r="FO1" s="7" t="s">
        <v>281</v>
      </c>
      <c r="FP1" s="1" t="s">
        <v>282</v>
      </c>
      <c r="FQ1" s="1" t="s">
        <v>283</v>
      </c>
      <c r="FR1" s="7" t="s">
        <v>284</v>
      </c>
      <c r="FS1" s="1" t="s">
        <v>285</v>
      </c>
      <c r="FT1" s="1" t="s">
        <v>285</v>
      </c>
      <c r="FU1" s="1" t="s">
        <v>286</v>
      </c>
      <c r="FV1" s="1" t="s">
        <v>287</v>
      </c>
      <c r="FW1" s="1" t="s">
        <v>288</v>
      </c>
      <c r="FX1" s="1" t="s">
        <v>289</v>
      </c>
      <c r="FY1" s="1" t="s">
        <v>290</v>
      </c>
      <c r="FZ1" s="7" t="s">
        <v>291</v>
      </c>
      <c r="GA1" s="7" t="s">
        <v>292</v>
      </c>
      <c r="GB1" s="7" t="s">
        <v>293</v>
      </c>
      <c r="GC1" s="7" t="s">
        <v>294</v>
      </c>
      <c r="GD1" s="1" t="s">
        <v>150</v>
      </c>
      <c r="GE1" s="7" t="s">
        <v>295</v>
      </c>
      <c r="GF1" s="1" t="s">
        <v>296</v>
      </c>
      <c r="GG1" s="1" t="s">
        <v>297</v>
      </c>
      <c r="GH1" s="7" t="s">
        <v>298</v>
      </c>
      <c r="GI1" s="1" t="s">
        <v>299</v>
      </c>
      <c r="GJ1" s="1" t="s">
        <v>299</v>
      </c>
      <c r="GK1" s="1" t="s">
        <v>300</v>
      </c>
      <c r="GL1" s="1" t="s">
        <v>300</v>
      </c>
      <c r="GM1" s="1" t="s">
        <v>301</v>
      </c>
      <c r="GN1" s="1" t="s">
        <v>302</v>
      </c>
      <c r="GO1" s="1" t="s">
        <v>303</v>
      </c>
      <c r="GP1" s="1" t="s">
        <v>304</v>
      </c>
      <c r="GQ1" s="1" t="s">
        <v>305</v>
      </c>
      <c r="GR1" s="1" t="s">
        <v>306</v>
      </c>
      <c r="GS1" s="1" t="s">
        <v>307</v>
      </c>
      <c r="GT1" s="1" t="s">
        <v>308</v>
      </c>
      <c r="GU1" s="7" t="s">
        <v>309</v>
      </c>
      <c r="GV1" s="1" t="s">
        <v>310</v>
      </c>
      <c r="GW1" s="1" t="s">
        <v>311</v>
      </c>
      <c r="GX1" s="1" t="s">
        <v>312</v>
      </c>
      <c r="GY1" s="7" t="s">
        <v>313</v>
      </c>
      <c r="GZ1" s="7" t="s">
        <v>314</v>
      </c>
      <c r="HA1" s="7" t="s">
        <v>315</v>
      </c>
      <c r="HB1" s="7" t="s">
        <v>316</v>
      </c>
      <c r="HC1" s="1" t="s">
        <v>317</v>
      </c>
      <c r="HD1" s="1" t="s">
        <v>318</v>
      </c>
      <c r="HE1" s="1" t="s">
        <v>319</v>
      </c>
      <c r="HF1" s="1" t="s">
        <v>320</v>
      </c>
      <c r="HG1" s="7" t="s">
        <v>321</v>
      </c>
      <c r="HH1" s="1" t="s">
        <v>322</v>
      </c>
      <c r="HI1" s="1" t="s">
        <v>323</v>
      </c>
      <c r="HJ1" s="7" t="s">
        <v>324</v>
      </c>
      <c r="HK1" s="1" t="s">
        <v>325</v>
      </c>
      <c r="HL1" s="1" t="s">
        <v>326</v>
      </c>
      <c r="HM1" s="7" t="s">
        <v>327</v>
      </c>
      <c r="HN1" s="1" t="s">
        <v>328</v>
      </c>
      <c r="HO1" s="1" t="s">
        <v>329</v>
      </c>
      <c r="HP1" s="1" t="s">
        <v>330</v>
      </c>
      <c r="HQ1" s="1" t="s">
        <v>331</v>
      </c>
      <c r="HR1" s="1" t="s">
        <v>332</v>
      </c>
      <c r="HS1" s="1" t="s">
        <v>333</v>
      </c>
      <c r="HT1" s="1" t="s">
        <v>334</v>
      </c>
      <c r="HU1" s="7" t="s">
        <v>335</v>
      </c>
      <c r="HV1" s="7" t="s">
        <v>336</v>
      </c>
      <c r="HW1" s="7" t="s">
        <v>337</v>
      </c>
      <c r="HX1" s="1" t="s">
        <v>338</v>
      </c>
      <c r="HY1" s="7" t="s">
        <v>339</v>
      </c>
      <c r="HZ1" s="7" t="s">
        <v>340</v>
      </c>
      <c r="IA1" s="7" t="s">
        <v>341</v>
      </c>
      <c r="IB1" s="1" t="s">
        <v>342</v>
      </c>
      <c r="IC1" s="1" t="s">
        <v>342</v>
      </c>
      <c r="ID1" s="1" t="s">
        <v>343</v>
      </c>
      <c r="IE1" s="7" t="s">
        <v>344</v>
      </c>
      <c r="IF1" s="1" t="s">
        <v>345</v>
      </c>
      <c r="IG1" s="1" t="s">
        <v>346</v>
      </c>
      <c r="IH1" s="7" t="s">
        <v>347</v>
      </c>
      <c r="II1" s="7" t="s">
        <v>348</v>
      </c>
      <c r="IJ1" s="7" t="s">
        <v>349</v>
      </c>
      <c r="IK1" s="1" t="s">
        <v>350</v>
      </c>
      <c r="IL1" s="1" t="s">
        <v>351</v>
      </c>
      <c r="IM1" s="1" t="s">
        <v>352</v>
      </c>
      <c r="IN1" s="1" t="s">
        <v>353</v>
      </c>
      <c r="IO1" s="1" t="s">
        <v>354</v>
      </c>
      <c r="IP1" s="7" t="s">
        <v>355</v>
      </c>
      <c r="IQ1" s="1" t="s">
        <v>356</v>
      </c>
      <c r="IR1" s="1" t="s">
        <v>357</v>
      </c>
      <c r="IS1" s="1" t="s">
        <v>358</v>
      </c>
      <c r="IT1" s="1" t="s">
        <v>359</v>
      </c>
      <c r="IU1" s="1" t="s">
        <v>360</v>
      </c>
      <c r="IV1" s="1" t="s">
        <v>361</v>
      </c>
      <c r="IW1" s="7" t="s">
        <v>362</v>
      </c>
      <c r="IX1" s="7" t="s">
        <v>362</v>
      </c>
      <c r="IY1" s="1" t="s">
        <v>363</v>
      </c>
      <c r="IZ1" s="1" t="s">
        <v>364</v>
      </c>
      <c r="JA1" s="7" t="s">
        <v>365</v>
      </c>
      <c r="JB1" s="7" t="s">
        <v>366</v>
      </c>
      <c r="JC1" s="7" t="s">
        <v>367</v>
      </c>
      <c r="JD1" s="1" t="s">
        <v>368</v>
      </c>
      <c r="JE1" s="1" t="s">
        <v>368</v>
      </c>
      <c r="JF1" s="1" t="s">
        <v>369</v>
      </c>
      <c r="JG1" s="7" t="s">
        <v>370</v>
      </c>
      <c r="JH1" s="1" t="s">
        <v>371</v>
      </c>
      <c r="JI1" s="1" t="s">
        <v>372</v>
      </c>
      <c r="JJ1" s="1" t="s">
        <v>373</v>
      </c>
      <c r="JK1" s="1" t="s">
        <v>374</v>
      </c>
      <c r="JL1" s="1" t="s">
        <v>375</v>
      </c>
      <c r="JM1" s="7" t="s">
        <v>376</v>
      </c>
      <c r="JN1" s="7" t="s">
        <v>377</v>
      </c>
      <c r="JO1" s="7" t="s">
        <v>377</v>
      </c>
      <c r="JP1" s="1" t="s">
        <v>378</v>
      </c>
      <c r="JQ1" s="1" t="s">
        <v>379</v>
      </c>
      <c r="JR1" s="1" t="s">
        <v>380</v>
      </c>
      <c r="JS1" s="1" t="s">
        <v>381</v>
      </c>
      <c r="JT1" s="1" t="s">
        <v>382</v>
      </c>
      <c r="JU1" s="1" t="s">
        <v>383</v>
      </c>
      <c r="JV1" s="1" t="s">
        <v>384</v>
      </c>
      <c r="JW1" s="1" t="s">
        <v>385</v>
      </c>
      <c r="JX1" s="1" t="s">
        <v>386</v>
      </c>
      <c r="JY1" s="1" t="s">
        <v>387</v>
      </c>
      <c r="JZ1" s="1" t="s">
        <v>388</v>
      </c>
      <c r="KA1" s="7" t="s">
        <v>389</v>
      </c>
      <c r="KB1" s="1" t="s">
        <v>390</v>
      </c>
      <c r="KC1" s="7" t="s">
        <v>391</v>
      </c>
      <c r="KD1" s="1" t="s">
        <v>392</v>
      </c>
      <c r="KE1" s="1" t="s">
        <v>393</v>
      </c>
      <c r="KF1" s="1" t="s">
        <v>394</v>
      </c>
      <c r="KG1" s="1" t="s">
        <v>395</v>
      </c>
      <c r="KH1" s="1" t="s">
        <v>396</v>
      </c>
      <c r="KI1" s="1" t="s">
        <v>397</v>
      </c>
      <c r="KJ1" s="1" t="s">
        <v>398</v>
      </c>
      <c r="KK1" s="1" t="s">
        <v>399</v>
      </c>
      <c r="KL1" s="1" t="s">
        <v>400</v>
      </c>
      <c r="KM1" s="7" t="s">
        <v>401</v>
      </c>
      <c r="KN1" s="7" t="s">
        <v>402</v>
      </c>
      <c r="KO1" s="7" t="s">
        <v>403</v>
      </c>
      <c r="KP1" s="7" t="s">
        <v>404</v>
      </c>
      <c r="KQ1" s="7" t="s">
        <v>405</v>
      </c>
      <c r="KR1" s="7" t="s">
        <v>406</v>
      </c>
      <c r="KS1" s="7" t="s">
        <v>407</v>
      </c>
      <c r="KT1" s="1" t="s">
        <v>408</v>
      </c>
      <c r="KU1" s="1" t="s">
        <v>409</v>
      </c>
      <c r="KV1" s="7" t="s">
        <v>410</v>
      </c>
      <c r="KW1" s="7" t="s">
        <v>411</v>
      </c>
      <c r="KX1" s="1" t="s">
        <v>412</v>
      </c>
      <c r="KY1" s="7" t="s">
        <v>413</v>
      </c>
      <c r="KZ1" s="1" t="s">
        <v>414</v>
      </c>
      <c r="LA1" s="1" t="s">
        <v>415</v>
      </c>
      <c r="LB1" s="1" t="s">
        <v>416</v>
      </c>
      <c r="LC1" s="1" t="s">
        <v>417</v>
      </c>
      <c r="LD1" s="1" t="s">
        <v>418</v>
      </c>
      <c r="LE1" s="7" t="s">
        <v>419</v>
      </c>
      <c r="LF1" s="1" t="s">
        <v>420</v>
      </c>
      <c r="LG1" s="7" t="s">
        <v>421</v>
      </c>
      <c r="LH1" s="7" t="s">
        <v>422</v>
      </c>
      <c r="LI1" s="1" t="s">
        <v>423</v>
      </c>
      <c r="LJ1" s="1" t="s">
        <v>424</v>
      </c>
      <c r="LK1" s="1" t="s">
        <v>425</v>
      </c>
      <c r="LL1" s="7" t="s">
        <v>426</v>
      </c>
      <c r="LM1" s="1" t="s">
        <v>427</v>
      </c>
      <c r="LN1" s="1" t="s">
        <v>428</v>
      </c>
      <c r="LO1" s="1" t="s">
        <v>429</v>
      </c>
      <c r="LP1" s="7" t="s">
        <v>430</v>
      </c>
      <c r="LQ1" s="1" t="s">
        <v>431</v>
      </c>
      <c r="LR1" s="1" t="s">
        <v>432</v>
      </c>
      <c r="LS1" s="1" t="s">
        <v>433</v>
      </c>
      <c r="LT1" s="1" t="s">
        <v>434</v>
      </c>
      <c r="LU1" s="1" t="s">
        <v>435</v>
      </c>
      <c r="LV1" s="1" t="s">
        <v>436</v>
      </c>
      <c r="LW1" s="1" t="s">
        <v>437</v>
      </c>
      <c r="LX1" s="1" t="s">
        <v>438</v>
      </c>
      <c r="LY1" s="1" t="s">
        <v>439</v>
      </c>
      <c r="LZ1" s="1" t="s">
        <v>440</v>
      </c>
      <c r="MA1" s="1" t="s">
        <v>441</v>
      </c>
      <c r="MB1" s="7" t="s">
        <v>442</v>
      </c>
      <c r="MC1" s="1" t="s">
        <v>443</v>
      </c>
      <c r="MD1" s="7" t="s">
        <v>444</v>
      </c>
      <c r="ME1" s="1" t="s">
        <v>445</v>
      </c>
      <c r="MF1" s="7" t="s">
        <v>446</v>
      </c>
      <c r="MG1" s="7" t="s">
        <v>447</v>
      </c>
      <c r="MH1" s="1" t="s">
        <v>448</v>
      </c>
      <c r="MI1" s="7" t="s">
        <v>449</v>
      </c>
      <c r="MJ1" s="1" t="s">
        <v>450</v>
      </c>
      <c r="MK1" s="1" t="s">
        <v>451</v>
      </c>
      <c r="ML1" s="1" t="s">
        <v>452</v>
      </c>
      <c r="MM1" s="7" t="s">
        <v>453</v>
      </c>
      <c r="MN1" s="7" t="s">
        <v>454</v>
      </c>
      <c r="MO1" s="1" t="s">
        <v>455</v>
      </c>
      <c r="MP1" s="1" t="s">
        <v>456</v>
      </c>
      <c r="MQ1" s="7" t="s">
        <v>457</v>
      </c>
      <c r="MR1" s="1" t="s">
        <v>458</v>
      </c>
      <c r="MS1" s="1" t="s">
        <v>459</v>
      </c>
      <c r="MT1" s="1" t="s">
        <v>460</v>
      </c>
      <c r="MU1" s="1" t="s">
        <v>461</v>
      </c>
      <c r="MV1" s="1" t="s">
        <v>462</v>
      </c>
      <c r="MW1" s="7" t="s">
        <v>463</v>
      </c>
      <c r="MX1" s="1" t="s">
        <v>464</v>
      </c>
      <c r="MY1" s="1" t="s">
        <v>464</v>
      </c>
      <c r="MZ1" s="1" t="s">
        <v>465</v>
      </c>
      <c r="NA1" s="1" t="s">
        <v>466</v>
      </c>
      <c r="NB1" s="1" t="s">
        <v>467</v>
      </c>
      <c r="NC1" s="7" t="s">
        <v>468</v>
      </c>
      <c r="ND1" s="1" t="s">
        <v>469</v>
      </c>
      <c r="NE1" s="1" t="s">
        <v>470</v>
      </c>
      <c r="NF1" s="7" t="s">
        <v>471</v>
      </c>
      <c r="NG1" s="1" t="s">
        <v>472</v>
      </c>
      <c r="NH1" s="7" t="s">
        <v>473</v>
      </c>
      <c r="NI1" s="1" t="s">
        <v>474</v>
      </c>
      <c r="NJ1" s="1" t="s">
        <v>475</v>
      </c>
      <c r="NK1" s="1" t="s">
        <v>475</v>
      </c>
      <c r="NL1" s="1" t="s">
        <v>475</v>
      </c>
      <c r="NM1" s="1" t="s">
        <v>476</v>
      </c>
      <c r="NN1" s="1" t="s">
        <v>477</v>
      </c>
      <c r="NO1" s="1" t="s">
        <v>478</v>
      </c>
      <c r="NP1" s="1" t="s">
        <v>479</v>
      </c>
      <c r="NQ1" s="1" t="s">
        <v>480</v>
      </c>
      <c r="NR1" s="7" t="s">
        <v>481</v>
      </c>
      <c r="NS1" s="1" t="s">
        <v>482</v>
      </c>
      <c r="NT1" s="1" t="s">
        <v>483</v>
      </c>
      <c r="NU1" s="7" t="s">
        <v>484</v>
      </c>
      <c r="NV1" s="1" t="s">
        <v>485</v>
      </c>
      <c r="NW1" s="1" t="s">
        <v>486</v>
      </c>
      <c r="NX1" s="7" t="s">
        <v>487</v>
      </c>
      <c r="NY1" s="1" t="s">
        <v>488</v>
      </c>
      <c r="NZ1" s="1" t="s">
        <v>489</v>
      </c>
      <c r="OA1" s="1" t="s">
        <v>490</v>
      </c>
      <c r="OB1" s="1" t="s">
        <v>491</v>
      </c>
      <c r="OC1" s="1" t="s">
        <v>492</v>
      </c>
      <c r="OD1" s="1" t="s">
        <v>493</v>
      </c>
      <c r="OE1" s="1" t="s">
        <v>494</v>
      </c>
      <c r="OF1" s="7" t="s">
        <v>495</v>
      </c>
      <c r="OG1" s="7" t="s">
        <v>496</v>
      </c>
      <c r="OH1" s="7" t="s">
        <v>497</v>
      </c>
      <c r="OI1" s="1" t="s">
        <v>498</v>
      </c>
      <c r="OJ1" s="1" t="s">
        <v>499</v>
      </c>
      <c r="OK1" s="1" t="s">
        <v>500</v>
      </c>
      <c r="OL1" s="1" t="s">
        <v>501</v>
      </c>
      <c r="OM1" s="1" t="s">
        <v>502</v>
      </c>
      <c r="ON1" s="1" t="s">
        <v>503</v>
      </c>
      <c r="OO1" s="1" t="s">
        <v>504</v>
      </c>
      <c r="OP1" s="1" t="s">
        <v>505</v>
      </c>
      <c r="OQ1" s="7" t="s">
        <v>506</v>
      </c>
      <c r="OR1" s="7" t="s">
        <v>507</v>
      </c>
      <c r="OS1" s="1" t="s">
        <v>508</v>
      </c>
      <c r="OT1" s="7" t="s">
        <v>509</v>
      </c>
      <c r="OU1" s="1" t="s">
        <v>510</v>
      </c>
      <c r="OV1" s="1" t="s">
        <v>511</v>
      </c>
      <c r="OW1" s="1" t="s">
        <v>512</v>
      </c>
    </row>
    <row r="2" spans="1:413" x14ac:dyDescent="0.25">
      <c r="A2" t="s">
        <v>0</v>
      </c>
      <c r="B2">
        <v>100000112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100000</v>
      </c>
      <c r="I2" s="2">
        <v>100000</v>
      </c>
      <c r="J2" s="2">
        <v>0</v>
      </c>
      <c r="K2" s="2">
        <v>100000</v>
      </c>
      <c r="L2" t="s">
        <v>7</v>
      </c>
      <c r="M2" t="s">
        <v>8</v>
      </c>
      <c r="N2" t="s">
        <v>9</v>
      </c>
      <c r="O2" t="s">
        <v>15</v>
      </c>
      <c r="P2" t="s">
        <v>9</v>
      </c>
      <c r="Q2" t="s">
        <v>10</v>
      </c>
      <c r="R2" t="str">
        <f>CONCATENATE(Q2,"_",CZ2,"_","Sunny")</f>
        <v>24430000_TESTCUST_Sunny</v>
      </c>
      <c r="S2">
        <f>VLOOKUP(R2,[1]Sheet1!$R$2:$AX$4,33,0)</f>
        <v>44652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s="2">
        <v>0</v>
      </c>
      <c r="Z2" t="s">
        <v>9</v>
      </c>
      <c r="AA2" t="s">
        <v>9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t="s">
        <v>9</v>
      </c>
      <c r="AQ2" t="s">
        <v>9</v>
      </c>
      <c r="AR2" t="s">
        <v>9</v>
      </c>
      <c r="AS2" s="3"/>
      <c r="AT2" s="3"/>
      <c r="AU2" t="s">
        <v>9</v>
      </c>
      <c r="AV2" t="s">
        <v>11</v>
      </c>
      <c r="AW2" t="s">
        <v>9</v>
      </c>
      <c r="AX2" s="3">
        <v>44896</v>
      </c>
      <c r="AY2" t="s">
        <v>9</v>
      </c>
      <c r="AZ2" t="s">
        <v>9</v>
      </c>
      <c r="BA2" t="s">
        <v>9</v>
      </c>
      <c r="BB2" s="3"/>
      <c r="BC2" s="3"/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s="3">
        <v>44896</v>
      </c>
      <c r="BS2" s="3">
        <v>44896</v>
      </c>
      <c r="BT2" t="s">
        <v>9</v>
      </c>
      <c r="BU2" s="2">
        <v>0</v>
      </c>
      <c r="BV2" t="s">
        <v>9</v>
      </c>
      <c r="BW2" s="2">
        <v>0</v>
      </c>
      <c r="BX2" s="2">
        <v>0</v>
      </c>
      <c r="BY2" s="2">
        <v>0</v>
      </c>
      <c r="BZ2" s="2">
        <v>100000</v>
      </c>
      <c r="CA2" t="s">
        <v>9</v>
      </c>
      <c r="CB2" t="s">
        <v>9</v>
      </c>
      <c r="CC2" s="3"/>
      <c r="CD2" t="s">
        <v>9</v>
      </c>
      <c r="CE2" s="3"/>
      <c r="CF2" t="s">
        <v>9</v>
      </c>
      <c r="CG2" s="4">
        <v>0</v>
      </c>
      <c r="CH2" t="s">
        <v>9</v>
      </c>
      <c r="CI2" t="s">
        <v>12</v>
      </c>
      <c r="CJ2" t="s">
        <v>13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0</v>
      </c>
      <c r="CR2" t="s">
        <v>9</v>
      </c>
      <c r="CS2" t="s">
        <v>9</v>
      </c>
      <c r="CT2" t="s">
        <v>13</v>
      </c>
      <c r="CU2" s="2">
        <v>100000</v>
      </c>
      <c r="CV2" t="s">
        <v>14</v>
      </c>
      <c r="CW2" t="s">
        <v>7</v>
      </c>
      <c r="CX2" t="s">
        <v>9</v>
      </c>
      <c r="CY2" t="s">
        <v>9</v>
      </c>
      <c r="CZ2" t="s">
        <v>15</v>
      </c>
      <c r="DA2" s="3"/>
      <c r="DB2" t="s">
        <v>9</v>
      </c>
      <c r="DC2" s="3"/>
      <c r="DD2" s="4">
        <v>0</v>
      </c>
      <c r="DE2" s="4">
        <v>0</v>
      </c>
      <c r="DF2" s="4">
        <v>0</v>
      </c>
      <c r="DG2" s="4">
        <v>0</v>
      </c>
      <c r="DH2" t="s">
        <v>9</v>
      </c>
      <c r="DI2" t="s">
        <v>9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5">
        <v>0</v>
      </c>
      <c r="DQ2" s="5">
        <v>0</v>
      </c>
      <c r="DR2" t="s">
        <v>13</v>
      </c>
      <c r="DS2" t="s">
        <v>9</v>
      </c>
      <c r="DT2" t="s">
        <v>9</v>
      </c>
      <c r="DU2" s="3">
        <v>44896</v>
      </c>
      <c r="DV2" t="s">
        <v>13</v>
      </c>
      <c r="DW2" t="s">
        <v>13</v>
      </c>
      <c r="DX2" t="s">
        <v>9</v>
      </c>
      <c r="DY2" t="s">
        <v>16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17</v>
      </c>
      <c r="EF2" t="s">
        <v>9</v>
      </c>
      <c r="EG2" t="s">
        <v>9</v>
      </c>
      <c r="EH2" t="s">
        <v>9</v>
      </c>
      <c r="EI2" t="s">
        <v>9</v>
      </c>
      <c r="EJ2" s="5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t="s">
        <v>9</v>
      </c>
      <c r="ES2" t="s">
        <v>9</v>
      </c>
      <c r="ET2" t="s">
        <v>9</v>
      </c>
      <c r="EU2" t="s">
        <v>9</v>
      </c>
      <c r="EV2" t="s">
        <v>9</v>
      </c>
      <c r="EW2" t="s">
        <v>9</v>
      </c>
      <c r="EX2" t="s">
        <v>9</v>
      </c>
      <c r="EY2" s="2">
        <v>0</v>
      </c>
      <c r="EZ2" s="2">
        <v>0</v>
      </c>
      <c r="FA2" t="s">
        <v>9</v>
      </c>
      <c r="FB2" t="s">
        <v>9</v>
      </c>
      <c r="FC2" t="s">
        <v>9</v>
      </c>
      <c r="FD2" s="2">
        <v>0</v>
      </c>
      <c r="FE2" s="2">
        <v>0</v>
      </c>
      <c r="FF2" s="2">
        <v>0</v>
      </c>
      <c r="FG2" t="s">
        <v>13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13</v>
      </c>
      <c r="FO2" t="s">
        <v>13</v>
      </c>
      <c r="FP2" t="s">
        <v>9</v>
      </c>
      <c r="FQ2" t="s">
        <v>9</v>
      </c>
      <c r="FR2" s="2">
        <v>0</v>
      </c>
      <c r="FS2" t="s">
        <v>9</v>
      </c>
      <c r="FT2" t="s">
        <v>9</v>
      </c>
      <c r="FU2" t="s">
        <v>9</v>
      </c>
      <c r="FV2" t="s">
        <v>9</v>
      </c>
      <c r="FW2" t="s">
        <v>9</v>
      </c>
      <c r="FX2" s="3"/>
      <c r="FY2" s="3"/>
      <c r="FZ2" s="5">
        <v>0</v>
      </c>
      <c r="GA2" s="5">
        <v>0</v>
      </c>
      <c r="GB2" s="2">
        <v>0</v>
      </c>
      <c r="GC2" s="2">
        <v>0</v>
      </c>
      <c r="GD2" t="s">
        <v>10</v>
      </c>
      <c r="GE2" t="s">
        <v>18</v>
      </c>
      <c r="GF2" t="s">
        <v>9</v>
      </c>
      <c r="GG2" t="s">
        <v>9</v>
      </c>
      <c r="GH2" t="s">
        <v>13</v>
      </c>
      <c r="GI2" t="s">
        <v>9</v>
      </c>
      <c r="GJ2" t="s">
        <v>9</v>
      </c>
      <c r="GK2" s="2">
        <v>0</v>
      </c>
      <c r="GL2" s="2">
        <v>0</v>
      </c>
      <c r="GM2" t="s">
        <v>9</v>
      </c>
      <c r="GN2" t="s">
        <v>9</v>
      </c>
      <c r="GO2" t="s">
        <v>9</v>
      </c>
      <c r="GP2" s="3"/>
      <c r="GQ2" t="s">
        <v>9</v>
      </c>
      <c r="GR2" t="s">
        <v>9</v>
      </c>
      <c r="GS2" t="s">
        <v>9</v>
      </c>
      <c r="GT2" t="s">
        <v>9</v>
      </c>
      <c r="GU2" t="s">
        <v>9</v>
      </c>
      <c r="GV2" t="s">
        <v>9</v>
      </c>
      <c r="GW2" t="s">
        <v>9</v>
      </c>
      <c r="GX2" t="s">
        <v>9</v>
      </c>
      <c r="GY2" t="s">
        <v>13</v>
      </c>
      <c r="GZ2" t="s">
        <v>13</v>
      </c>
      <c r="HA2" t="s">
        <v>13</v>
      </c>
      <c r="HB2" t="s">
        <v>13</v>
      </c>
      <c r="HC2" s="3"/>
      <c r="HD2" t="s">
        <v>9</v>
      </c>
      <c r="HE2" t="s">
        <v>9</v>
      </c>
      <c r="HF2" t="s">
        <v>9</v>
      </c>
      <c r="HG2" t="s">
        <v>13</v>
      </c>
      <c r="HH2" t="s">
        <v>9</v>
      </c>
      <c r="HI2" s="2">
        <v>0</v>
      </c>
      <c r="HJ2" s="2">
        <v>0</v>
      </c>
      <c r="HK2" t="s">
        <v>9</v>
      </c>
      <c r="HL2" t="s">
        <v>13</v>
      </c>
      <c r="HM2" t="s">
        <v>13</v>
      </c>
      <c r="HN2" t="s">
        <v>9</v>
      </c>
      <c r="HO2" s="3"/>
      <c r="HP2" s="3">
        <v>45099</v>
      </c>
      <c r="HQ2" s="2">
        <v>0</v>
      </c>
      <c r="HR2" s="2">
        <v>0</v>
      </c>
      <c r="HS2" s="2">
        <v>0</v>
      </c>
      <c r="HT2" s="2">
        <v>100000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t="s">
        <v>9</v>
      </c>
      <c r="IC2" t="s">
        <v>13</v>
      </c>
      <c r="ID2" t="s">
        <v>9</v>
      </c>
      <c r="IE2" t="s">
        <v>11</v>
      </c>
      <c r="IF2" t="s">
        <v>9</v>
      </c>
      <c r="IG2" t="s">
        <v>9</v>
      </c>
      <c r="IH2" t="s">
        <v>7</v>
      </c>
      <c r="II2" t="s">
        <v>7</v>
      </c>
      <c r="IJ2" t="s">
        <v>9</v>
      </c>
      <c r="IK2" t="s">
        <v>9</v>
      </c>
      <c r="IL2" t="s">
        <v>9</v>
      </c>
      <c r="IM2" t="s">
        <v>9</v>
      </c>
      <c r="IN2" t="s">
        <v>9</v>
      </c>
      <c r="IO2" t="s">
        <v>9</v>
      </c>
      <c r="IP2" t="s">
        <v>9</v>
      </c>
      <c r="IQ2" t="s">
        <v>9</v>
      </c>
      <c r="IR2" t="s">
        <v>9</v>
      </c>
      <c r="IS2" s="3">
        <v>44896</v>
      </c>
      <c r="IT2" t="s">
        <v>9</v>
      </c>
      <c r="IU2" t="s">
        <v>9</v>
      </c>
      <c r="IV2" s="2">
        <v>0</v>
      </c>
      <c r="IW2" s="2">
        <v>0</v>
      </c>
      <c r="IX2" s="2">
        <v>0</v>
      </c>
      <c r="IY2" t="s">
        <v>9</v>
      </c>
      <c r="IZ2" t="s">
        <v>19</v>
      </c>
      <c r="JA2" t="s">
        <v>20</v>
      </c>
      <c r="JB2" t="s">
        <v>20</v>
      </c>
      <c r="JC2" t="s">
        <v>6</v>
      </c>
      <c r="JD2" s="2">
        <v>0</v>
      </c>
      <c r="JE2" s="2">
        <v>0</v>
      </c>
      <c r="JF2" t="s">
        <v>9</v>
      </c>
      <c r="JG2" t="s">
        <v>11</v>
      </c>
      <c r="JH2" s="6">
        <v>0</v>
      </c>
      <c r="JI2" t="s">
        <v>9</v>
      </c>
      <c r="JJ2" t="s">
        <v>9</v>
      </c>
      <c r="JK2" t="s">
        <v>9</v>
      </c>
      <c r="JL2" t="s">
        <v>9</v>
      </c>
      <c r="JM2" t="s">
        <v>13</v>
      </c>
      <c r="JN2" s="2">
        <v>0</v>
      </c>
      <c r="JO2" s="2">
        <v>0</v>
      </c>
      <c r="JP2" t="s">
        <v>9</v>
      </c>
      <c r="JQ2" t="s">
        <v>9</v>
      </c>
      <c r="JR2" t="s">
        <v>9</v>
      </c>
      <c r="JS2" t="s">
        <v>9</v>
      </c>
      <c r="JT2" t="s">
        <v>9</v>
      </c>
      <c r="JU2" t="s">
        <v>9</v>
      </c>
      <c r="JV2" t="s">
        <v>9</v>
      </c>
      <c r="JW2" t="s">
        <v>9</v>
      </c>
      <c r="JX2" t="s">
        <v>9</v>
      </c>
      <c r="JY2" t="s">
        <v>9</v>
      </c>
      <c r="JZ2" t="s">
        <v>9</v>
      </c>
      <c r="KA2" s="2">
        <v>0</v>
      </c>
      <c r="KB2" t="s">
        <v>9</v>
      </c>
      <c r="KC2" t="s">
        <v>13</v>
      </c>
      <c r="KD2" t="s">
        <v>9</v>
      </c>
      <c r="KE2" t="s">
        <v>9</v>
      </c>
      <c r="KF2" t="s">
        <v>9</v>
      </c>
      <c r="KG2" t="s">
        <v>9</v>
      </c>
      <c r="KH2" t="s">
        <v>9</v>
      </c>
      <c r="KI2" t="s">
        <v>9</v>
      </c>
      <c r="KJ2" t="s">
        <v>9</v>
      </c>
      <c r="KK2" t="s">
        <v>0</v>
      </c>
      <c r="KL2" t="s">
        <v>9</v>
      </c>
      <c r="KM2" s="2">
        <v>0</v>
      </c>
      <c r="KN2" s="2">
        <v>0</v>
      </c>
      <c r="KO2" s="2">
        <v>0</v>
      </c>
      <c r="KP2" s="2">
        <v>0</v>
      </c>
      <c r="KQ2" t="s">
        <v>13</v>
      </c>
      <c r="KR2" s="2">
        <v>0</v>
      </c>
      <c r="KS2" t="s">
        <v>13</v>
      </c>
      <c r="KT2" s="2">
        <v>0</v>
      </c>
      <c r="KU2" s="3"/>
      <c r="KV2" t="s">
        <v>9</v>
      </c>
      <c r="KW2" t="s">
        <v>9</v>
      </c>
      <c r="KX2" t="s">
        <v>9</v>
      </c>
      <c r="KY2" s="2">
        <v>0</v>
      </c>
      <c r="KZ2" t="s">
        <v>9</v>
      </c>
      <c r="LA2" t="s">
        <v>9</v>
      </c>
      <c r="LB2" t="s">
        <v>3</v>
      </c>
      <c r="LC2" t="s">
        <v>9</v>
      </c>
      <c r="LD2" s="3">
        <v>44896</v>
      </c>
      <c r="LE2" t="s">
        <v>21</v>
      </c>
      <c r="LF2" t="s">
        <v>9</v>
      </c>
      <c r="LG2" s="2">
        <v>0</v>
      </c>
      <c r="LH2" s="2">
        <v>0</v>
      </c>
      <c r="LI2" t="s">
        <v>9</v>
      </c>
      <c r="LJ2" s="4">
        <v>0</v>
      </c>
      <c r="LK2" s="3"/>
      <c r="LL2" t="s">
        <v>13</v>
      </c>
      <c r="LM2" t="s">
        <v>9</v>
      </c>
      <c r="LN2" t="s">
        <v>9</v>
      </c>
      <c r="LO2" s="5">
        <v>0</v>
      </c>
      <c r="LP2" s="5">
        <v>0</v>
      </c>
      <c r="LQ2" s="5">
        <v>0</v>
      </c>
      <c r="LR2" t="s">
        <v>9</v>
      </c>
      <c r="LS2" t="s">
        <v>9</v>
      </c>
      <c r="LT2" t="s">
        <v>9</v>
      </c>
      <c r="LU2" t="s">
        <v>9</v>
      </c>
      <c r="LV2" t="s">
        <v>9</v>
      </c>
      <c r="LW2" t="s">
        <v>9</v>
      </c>
      <c r="LX2" s="3"/>
      <c r="LY2" t="s">
        <v>9</v>
      </c>
      <c r="LZ2" t="s">
        <v>9</v>
      </c>
      <c r="MA2" t="s">
        <v>9</v>
      </c>
      <c r="MB2" t="s">
        <v>22</v>
      </c>
      <c r="MC2" s="3"/>
      <c r="MD2" t="s">
        <v>9</v>
      </c>
      <c r="ME2" t="s">
        <v>9</v>
      </c>
      <c r="MF2" t="s">
        <v>13</v>
      </c>
      <c r="MG2" t="s">
        <v>11</v>
      </c>
      <c r="MH2" t="s">
        <v>9</v>
      </c>
      <c r="MI2" t="s">
        <v>13</v>
      </c>
      <c r="MJ2" t="s">
        <v>9</v>
      </c>
      <c r="MK2" t="s">
        <v>9</v>
      </c>
      <c r="ML2" t="s">
        <v>9</v>
      </c>
      <c r="MM2" t="s">
        <v>13</v>
      </c>
      <c r="MN2" t="s">
        <v>13</v>
      </c>
      <c r="MO2" t="s">
        <v>9</v>
      </c>
      <c r="MP2" t="s">
        <v>9</v>
      </c>
      <c r="MQ2" t="s">
        <v>13</v>
      </c>
      <c r="MR2" t="s">
        <v>9</v>
      </c>
      <c r="MS2" t="s">
        <v>9</v>
      </c>
      <c r="MT2" t="s">
        <v>9</v>
      </c>
      <c r="MU2" t="s">
        <v>9</v>
      </c>
      <c r="MV2" t="s">
        <v>9</v>
      </c>
      <c r="MW2" s="2">
        <v>0</v>
      </c>
      <c r="MX2" t="s">
        <v>9</v>
      </c>
      <c r="MY2" t="s">
        <v>9</v>
      </c>
      <c r="MZ2" t="s">
        <v>13</v>
      </c>
      <c r="NA2" t="s">
        <v>9</v>
      </c>
      <c r="NB2" t="s">
        <v>9</v>
      </c>
      <c r="NC2" t="s">
        <v>9</v>
      </c>
      <c r="ND2" t="s">
        <v>9</v>
      </c>
      <c r="NE2" t="s">
        <v>9</v>
      </c>
      <c r="NF2" t="s">
        <v>13</v>
      </c>
      <c r="NG2" s="2">
        <v>0</v>
      </c>
      <c r="NH2" s="2">
        <v>0</v>
      </c>
      <c r="NI2" t="s">
        <v>23</v>
      </c>
      <c r="NJ2" t="s">
        <v>9</v>
      </c>
      <c r="NK2" t="s">
        <v>9</v>
      </c>
      <c r="NL2" t="s">
        <v>9</v>
      </c>
      <c r="NM2" t="s">
        <v>9</v>
      </c>
      <c r="NN2" s="3"/>
      <c r="NO2" t="s">
        <v>9</v>
      </c>
      <c r="NP2" t="s">
        <v>9</v>
      </c>
      <c r="NQ2" t="s">
        <v>9</v>
      </c>
      <c r="NR2" s="2">
        <v>0</v>
      </c>
      <c r="NS2" t="s">
        <v>9</v>
      </c>
      <c r="NT2" t="s">
        <v>9</v>
      </c>
      <c r="NU2" t="s">
        <v>9</v>
      </c>
      <c r="NV2" t="s">
        <v>9</v>
      </c>
      <c r="NW2" t="s">
        <v>9</v>
      </c>
      <c r="NX2" s="3"/>
      <c r="NY2" t="s">
        <v>9</v>
      </c>
      <c r="NZ2" t="s">
        <v>9</v>
      </c>
      <c r="OA2" t="s">
        <v>9</v>
      </c>
      <c r="OB2" t="s">
        <v>9</v>
      </c>
      <c r="OC2" t="s">
        <v>9</v>
      </c>
      <c r="OD2" t="s">
        <v>9</v>
      </c>
      <c r="OE2" t="s">
        <v>9</v>
      </c>
      <c r="OF2" s="2">
        <v>0</v>
      </c>
      <c r="OG2" s="2">
        <v>0</v>
      </c>
      <c r="OH2" s="2">
        <v>0</v>
      </c>
      <c r="OI2" t="s">
        <v>9</v>
      </c>
      <c r="OJ2" s="3"/>
      <c r="OK2" t="s">
        <v>9</v>
      </c>
      <c r="OL2" t="s">
        <v>9</v>
      </c>
      <c r="OM2" t="s">
        <v>9</v>
      </c>
      <c r="ON2" t="s">
        <v>9</v>
      </c>
      <c r="OO2" t="s">
        <v>9</v>
      </c>
      <c r="OP2" t="s">
        <v>9</v>
      </c>
      <c r="OQ2" s="2">
        <v>0</v>
      </c>
      <c r="OR2" s="2">
        <v>0</v>
      </c>
      <c r="OS2" t="s">
        <v>9</v>
      </c>
      <c r="OT2" s="2">
        <v>0</v>
      </c>
      <c r="OU2" t="s">
        <v>9</v>
      </c>
      <c r="OV2" t="s">
        <v>9</v>
      </c>
      <c r="OW2" t="s">
        <v>9</v>
      </c>
    </row>
    <row r="3" spans="1:413" x14ac:dyDescent="0.25">
      <c r="A3" t="s">
        <v>0</v>
      </c>
      <c r="B3" t="s">
        <v>24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100000</v>
      </c>
      <c r="I3" s="2">
        <v>100000</v>
      </c>
      <c r="J3" s="2">
        <v>0</v>
      </c>
      <c r="K3" s="2">
        <v>100000</v>
      </c>
      <c r="L3" t="s">
        <v>7</v>
      </c>
      <c r="M3" t="s">
        <v>8</v>
      </c>
      <c r="N3" t="s">
        <v>9</v>
      </c>
      <c r="O3" t="s">
        <v>26</v>
      </c>
      <c r="P3" t="s">
        <v>9</v>
      </c>
      <c r="Q3" t="s">
        <v>10</v>
      </c>
      <c r="R3" t="str">
        <f t="shared" ref="R3:R20" si="0">CONCATENATE(Q3,"_",CZ3,"_","Sunny")</f>
        <v>24430000_200000013_Sunny</v>
      </c>
      <c r="S3" t="e">
        <f>VLOOKUP(R3,[1]Sheet1!$R$2:$AX$4,33,0)</f>
        <v>#N/A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s="2">
        <v>0</v>
      </c>
      <c r="Z3" t="s">
        <v>9</v>
      </c>
      <c r="AA3" t="s">
        <v>9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t="s">
        <v>9</v>
      </c>
      <c r="AQ3" t="s">
        <v>9</v>
      </c>
      <c r="AR3" t="s">
        <v>9</v>
      </c>
      <c r="AS3" s="3"/>
      <c r="AT3" s="3"/>
      <c r="AU3" t="s">
        <v>9</v>
      </c>
      <c r="AV3" t="s">
        <v>11</v>
      </c>
      <c r="AW3" t="s">
        <v>9</v>
      </c>
      <c r="AX3" s="3">
        <v>44652</v>
      </c>
      <c r="AY3" t="s">
        <v>9</v>
      </c>
      <c r="AZ3" t="s">
        <v>9</v>
      </c>
      <c r="BA3" t="s">
        <v>9</v>
      </c>
      <c r="BB3" s="3"/>
      <c r="BC3" s="3"/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25</v>
      </c>
      <c r="BQ3" t="s">
        <v>9</v>
      </c>
      <c r="BR3" s="3">
        <v>44652</v>
      </c>
      <c r="BS3" s="3">
        <v>44652</v>
      </c>
      <c r="BT3" t="s">
        <v>9</v>
      </c>
      <c r="BU3" s="2">
        <v>0</v>
      </c>
      <c r="BV3" t="s">
        <v>9</v>
      </c>
      <c r="BW3" s="2">
        <v>0</v>
      </c>
      <c r="BX3" s="2">
        <v>0</v>
      </c>
      <c r="BY3" s="2">
        <v>0</v>
      </c>
      <c r="BZ3" s="2">
        <v>100000</v>
      </c>
      <c r="CA3" t="s">
        <v>9</v>
      </c>
      <c r="CB3" t="s">
        <v>9</v>
      </c>
      <c r="CC3" s="3"/>
      <c r="CD3" t="s">
        <v>9</v>
      </c>
      <c r="CE3" s="3"/>
      <c r="CF3" t="s">
        <v>9</v>
      </c>
      <c r="CG3" s="4">
        <v>0</v>
      </c>
      <c r="CH3" t="s">
        <v>9</v>
      </c>
      <c r="CI3" t="s">
        <v>12</v>
      </c>
      <c r="CJ3" t="s">
        <v>13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0</v>
      </c>
      <c r="CR3" t="s">
        <v>9</v>
      </c>
      <c r="CS3" t="s">
        <v>9</v>
      </c>
      <c r="CT3" t="s">
        <v>13</v>
      </c>
      <c r="CU3" s="2">
        <v>100000</v>
      </c>
      <c r="CV3" t="s">
        <v>14</v>
      </c>
      <c r="CW3" t="s">
        <v>7</v>
      </c>
      <c r="CX3" t="s">
        <v>9</v>
      </c>
      <c r="CY3" t="s">
        <v>9</v>
      </c>
      <c r="CZ3" t="s">
        <v>26</v>
      </c>
      <c r="DA3" s="3"/>
      <c r="DB3" t="s">
        <v>9</v>
      </c>
      <c r="DC3" s="3"/>
      <c r="DD3" s="4">
        <v>0</v>
      </c>
      <c r="DE3" s="4">
        <v>0</v>
      </c>
      <c r="DF3" s="4">
        <v>0</v>
      </c>
      <c r="DG3" s="4">
        <v>0</v>
      </c>
      <c r="DH3" t="s">
        <v>9</v>
      </c>
      <c r="DI3" t="s">
        <v>9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5">
        <v>0</v>
      </c>
      <c r="DQ3" s="5">
        <v>0</v>
      </c>
      <c r="DR3" t="s">
        <v>13</v>
      </c>
      <c r="DS3" t="s">
        <v>9</v>
      </c>
      <c r="DT3" t="s">
        <v>9</v>
      </c>
      <c r="DU3" s="3">
        <v>44652</v>
      </c>
      <c r="DV3" t="s">
        <v>13</v>
      </c>
      <c r="DW3" t="s">
        <v>13</v>
      </c>
      <c r="DX3" t="s">
        <v>9</v>
      </c>
      <c r="DY3" t="s">
        <v>16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17</v>
      </c>
      <c r="EF3" t="s">
        <v>9</v>
      </c>
      <c r="EG3" t="s">
        <v>9</v>
      </c>
      <c r="EH3" t="s">
        <v>9</v>
      </c>
      <c r="EI3" t="s">
        <v>9</v>
      </c>
      <c r="EJ3" s="5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s="2">
        <v>0</v>
      </c>
      <c r="EZ3" s="2">
        <v>0</v>
      </c>
      <c r="FA3" t="s">
        <v>9</v>
      </c>
      <c r="FB3" t="s">
        <v>9</v>
      </c>
      <c r="FC3" t="s">
        <v>9</v>
      </c>
      <c r="FD3" s="2">
        <v>0</v>
      </c>
      <c r="FE3" s="2">
        <v>0</v>
      </c>
      <c r="FF3" s="2">
        <v>0</v>
      </c>
      <c r="FG3" t="s">
        <v>13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13</v>
      </c>
      <c r="FO3" t="s">
        <v>13</v>
      </c>
      <c r="FP3" t="s">
        <v>9</v>
      </c>
      <c r="FQ3" t="s">
        <v>9</v>
      </c>
      <c r="FR3" s="2">
        <v>0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s="3"/>
      <c r="FY3" s="3"/>
      <c r="FZ3" s="5">
        <v>0</v>
      </c>
      <c r="GA3" s="5">
        <v>0</v>
      </c>
      <c r="GB3" s="2">
        <v>0</v>
      </c>
      <c r="GC3" s="2">
        <v>0</v>
      </c>
      <c r="GD3" t="s">
        <v>10</v>
      </c>
      <c r="GE3" t="s">
        <v>18</v>
      </c>
      <c r="GF3" t="s">
        <v>9</v>
      </c>
      <c r="GG3" t="s">
        <v>9</v>
      </c>
      <c r="GH3" t="s">
        <v>13</v>
      </c>
      <c r="GI3" t="s">
        <v>9</v>
      </c>
      <c r="GJ3" t="s">
        <v>9</v>
      </c>
      <c r="GK3" s="2">
        <v>0</v>
      </c>
      <c r="GL3" s="2">
        <v>0</v>
      </c>
      <c r="GM3" t="s">
        <v>9</v>
      </c>
      <c r="GN3" t="s">
        <v>9</v>
      </c>
      <c r="GO3" t="s">
        <v>9</v>
      </c>
      <c r="GP3" s="3"/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13</v>
      </c>
      <c r="GZ3" t="s">
        <v>13</v>
      </c>
      <c r="HA3" t="s">
        <v>13</v>
      </c>
      <c r="HB3" t="s">
        <v>13</v>
      </c>
      <c r="HC3" s="3"/>
      <c r="HD3" t="s">
        <v>9</v>
      </c>
      <c r="HE3" t="s">
        <v>9</v>
      </c>
      <c r="HF3" t="s">
        <v>9</v>
      </c>
      <c r="HG3" t="s">
        <v>13</v>
      </c>
      <c r="HH3" t="s">
        <v>9</v>
      </c>
      <c r="HI3" s="2">
        <v>0</v>
      </c>
      <c r="HJ3" s="2">
        <v>0</v>
      </c>
      <c r="HK3" t="s">
        <v>9</v>
      </c>
      <c r="HL3" t="s">
        <v>13</v>
      </c>
      <c r="HM3" t="s">
        <v>13</v>
      </c>
      <c r="HN3" t="s">
        <v>9</v>
      </c>
      <c r="HO3" s="3"/>
      <c r="HP3" s="3">
        <v>45106</v>
      </c>
      <c r="HQ3" s="2">
        <v>0</v>
      </c>
      <c r="HR3" s="2">
        <v>0</v>
      </c>
      <c r="HS3" s="2">
        <v>0</v>
      </c>
      <c r="HT3" s="2">
        <v>70000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t="s">
        <v>9</v>
      </c>
      <c r="IC3" t="s">
        <v>13</v>
      </c>
      <c r="ID3" t="s">
        <v>9</v>
      </c>
      <c r="IE3" t="s">
        <v>11</v>
      </c>
      <c r="IF3" t="s">
        <v>9</v>
      </c>
      <c r="IG3" t="s">
        <v>9</v>
      </c>
      <c r="IH3" t="s">
        <v>7</v>
      </c>
      <c r="II3" t="s">
        <v>27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s="3">
        <v>44652</v>
      </c>
      <c r="IT3" t="s">
        <v>9</v>
      </c>
      <c r="IU3" t="s">
        <v>9</v>
      </c>
      <c r="IV3" s="2">
        <v>0</v>
      </c>
      <c r="IW3" s="2">
        <v>0</v>
      </c>
      <c r="IX3" s="2">
        <v>0</v>
      </c>
      <c r="IY3" t="s">
        <v>9</v>
      </c>
      <c r="IZ3" t="s">
        <v>28</v>
      </c>
      <c r="JA3" t="s">
        <v>29</v>
      </c>
      <c r="JB3" t="s">
        <v>29</v>
      </c>
      <c r="JC3" t="s">
        <v>6</v>
      </c>
      <c r="JD3" s="2">
        <v>0</v>
      </c>
      <c r="JE3" s="2">
        <v>0</v>
      </c>
      <c r="JF3" t="s">
        <v>9</v>
      </c>
      <c r="JG3" t="s">
        <v>11</v>
      </c>
      <c r="JH3" s="6">
        <v>0</v>
      </c>
      <c r="JI3" t="s">
        <v>9</v>
      </c>
      <c r="JJ3" t="s">
        <v>9</v>
      </c>
      <c r="JK3" t="s">
        <v>9</v>
      </c>
      <c r="JL3" t="s">
        <v>9</v>
      </c>
      <c r="JM3" t="s">
        <v>13</v>
      </c>
      <c r="JN3" s="2">
        <v>0</v>
      </c>
      <c r="JO3" s="2">
        <v>0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s="2">
        <v>0</v>
      </c>
      <c r="KB3" t="s">
        <v>9</v>
      </c>
      <c r="KC3" t="s">
        <v>13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0</v>
      </c>
      <c r="KL3" t="s">
        <v>9</v>
      </c>
      <c r="KM3" s="2">
        <v>0</v>
      </c>
      <c r="KN3" s="2">
        <v>0</v>
      </c>
      <c r="KO3" s="2">
        <v>0</v>
      </c>
      <c r="KP3" s="2">
        <v>0</v>
      </c>
      <c r="KQ3" t="s">
        <v>13</v>
      </c>
      <c r="KR3" s="2">
        <v>0</v>
      </c>
      <c r="KS3" t="s">
        <v>13</v>
      </c>
      <c r="KT3" s="2">
        <v>0</v>
      </c>
      <c r="KU3" s="3"/>
      <c r="KV3" t="s">
        <v>9</v>
      </c>
      <c r="KW3" t="s">
        <v>9</v>
      </c>
      <c r="KX3" t="s">
        <v>9</v>
      </c>
      <c r="KY3" s="2">
        <v>0</v>
      </c>
      <c r="KZ3" t="s">
        <v>9</v>
      </c>
      <c r="LA3" t="s">
        <v>9</v>
      </c>
      <c r="LB3" t="s">
        <v>3</v>
      </c>
      <c r="LC3" t="s">
        <v>9</v>
      </c>
      <c r="LD3" s="3">
        <v>44652</v>
      </c>
      <c r="LE3" t="s">
        <v>3</v>
      </c>
      <c r="LF3" t="s">
        <v>9</v>
      </c>
      <c r="LG3" s="2">
        <v>0</v>
      </c>
      <c r="LH3" s="2">
        <v>0</v>
      </c>
      <c r="LI3" t="s">
        <v>9</v>
      </c>
      <c r="LJ3" s="4">
        <v>0</v>
      </c>
      <c r="LK3" s="3"/>
      <c r="LL3" t="s">
        <v>13</v>
      </c>
      <c r="LM3" t="s">
        <v>9</v>
      </c>
      <c r="LN3" t="s">
        <v>9</v>
      </c>
      <c r="LO3" s="5">
        <v>0</v>
      </c>
      <c r="LP3" s="5">
        <v>0</v>
      </c>
      <c r="LQ3" s="5">
        <v>0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s="3"/>
      <c r="LY3" t="s">
        <v>9</v>
      </c>
      <c r="LZ3" t="s">
        <v>9</v>
      </c>
      <c r="MA3" t="s">
        <v>9</v>
      </c>
      <c r="MB3" t="s">
        <v>22</v>
      </c>
      <c r="MC3" s="3"/>
      <c r="MD3" t="s">
        <v>9</v>
      </c>
      <c r="ME3" t="s">
        <v>9</v>
      </c>
      <c r="MF3" t="s">
        <v>13</v>
      </c>
      <c r="MG3" t="s">
        <v>11</v>
      </c>
      <c r="MH3" t="s">
        <v>9</v>
      </c>
      <c r="MI3" t="s">
        <v>13</v>
      </c>
      <c r="MJ3" t="s">
        <v>9</v>
      </c>
      <c r="MK3" t="s">
        <v>9</v>
      </c>
      <c r="ML3" t="s">
        <v>9</v>
      </c>
      <c r="MM3" t="s">
        <v>13</v>
      </c>
      <c r="MN3" t="s">
        <v>13</v>
      </c>
      <c r="MO3" t="s">
        <v>9</v>
      </c>
      <c r="MP3" t="s">
        <v>9</v>
      </c>
      <c r="MQ3" t="s">
        <v>13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s="2">
        <v>0</v>
      </c>
      <c r="MX3" t="s">
        <v>9</v>
      </c>
      <c r="MY3" t="s">
        <v>9</v>
      </c>
      <c r="MZ3" t="s">
        <v>13</v>
      </c>
      <c r="NA3" t="s">
        <v>9</v>
      </c>
      <c r="NB3" t="s">
        <v>9</v>
      </c>
      <c r="NC3" t="s">
        <v>30</v>
      </c>
      <c r="ND3" t="s">
        <v>9</v>
      </c>
      <c r="NE3" t="s">
        <v>9</v>
      </c>
      <c r="NF3" t="s">
        <v>13</v>
      </c>
      <c r="NG3" s="2">
        <v>0</v>
      </c>
      <c r="NH3" s="2">
        <v>0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s="3"/>
      <c r="NO3" t="s">
        <v>9</v>
      </c>
      <c r="NP3" t="s">
        <v>9</v>
      </c>
      <c r="NQ3" t="s">
        <v>9</v>
      </c>
      <c r="NR3" s="2">
        <v>0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s="3"/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s="2">
        <v>0</v>
      </c>
      <c r="OG3" s="2">
        <v>0</v>
      </c>
      <c r="OH3" s="2">
        <v>0</v>
      </c>
      <c r="OI3" t="s">
        <v>9</v>
      </c>
      <c r="OJ3" s="3"/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s="2">
        <v>0</v>
      </c>
      <c r="OR3" s="2">
        <v>0</v>
      </c>
      <c r="OS3" t="s">
        <v>9</v>
      </c>
      <c r="OT3" s="2">
        <v>0</v>
      </c>
      <c r="OU3" t="s">
        <v>9</v>
      </c>
      <c r="OV3" t="s">
        <v>9</v>
      </c>
      <c r="OW3" t="s">
        <v>9</v>
      </c>
    </row>
    <row r="4" spans="1:413" x14ac:dyDescent="0.25">
      <c r="A4" t="s">
        <v>31</v>
      </c>
      <c r="B4" t="s">
        <v>24</v>
      </c>
      <c r="C4" t="s">
        <v>32</v>
      </c>
      <c r="D4" t="s">
        <v>3</v>
      </c>
      <c r="E4" t="s">
        <v>4</v>
      </c>
      <c r="F4" t="s">
        <v>5</v>
      </c>
      <c r="G4" t="s">
        <v>6</v>
      </c>
      <c r="H4" s="2">
        <v>20000</v>
      </c>
      <c r="I4" s="2">
        <v>20000</v>
      </c>
      <c r="J4" s="2">
        <v>0</v>
      </c>
      <c r="K4" s="2">
        <v>20000</v>
      </c>
      <c r="L4" t="s">
        <v>7</v>
      </c>
      <c r="M4" t="s">
        <v>8</v>
      </c>
      <c r="N4" t="s">
        <v>33</v>
      </c>
      <c r="O4" t="s">
        <v>37</v>
      </c>
      <c r="P4" t="s">
        <v>9</v>
      </c>
      <c r="Q4" t="s">
        <v>34</v>
      </c>
      <c r="R4" t="str">
        <f t="shared" si="0"/>
        <v>20000100_37001_Sunny</v>
      </c>
      <c r="S4" t="e">
        <f>VLOOKUP(R4,[1]Sheet1!$R$2:$AX$4,33,0)</f>
        <v>#N/A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s="2">
        <v>0</v>
      </c>
      <c r="Z4" t="s">
        <v>9</v>
      </c>
      <c r="AA4" t="s">
        <v>9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t="s">
        <v>9</v>
      </c>
      <c r="AQ4" t="s">
        <v>9</v>
      </c>
      <c r="AR4" t="s">
        <v>9</v>
      </c>
      <c r="AS4" s="3"/>
      <c r="AT4" s="3"/>
      <c r="AU4" t="s">
        <v>9</v>
      </c>
      <c r="AV4" t="s">
        <v>11</v>
      </c>
      <c r="AW4" t="s">
        <v>9</v>
      </c>
      <c r="AX4" s="3">
        <v>44453</v>
      </c>
      <c r="AY4" t="s">
        <v>9</v>
      </c>
      <c r="AZ4" t="s">
        <v>9</v>
      </c>
      <c r="BA4" t="s">
        <v>9</v>
      </c>
      <c r="BB4" s="3"/>
      <c r="BC4" s="3"/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s="3">
        <v>44453</v>
      </c>
      <c r="BS4" s="3">
        <v>44453</v>
      </c>
      <c r="BT4" t="s">
        <v>9</v>
      </c>
      <c r="BU4" s="2">
        <v>0</v>
      </c>
      <c r="BV4" t="s">
        <v>9</v>
      </c>
      <c r="BW4" s="2">
        <v>0</v>
      </c>
      <c r="BX4" s="2">
        <v>0</v>
      </c>
      <c r="BY4" s="2">
        <v>0</v>
      </c>
      <c r="BZ4" s="2">
        <v>20000</v>
      </c>
      <c r="CA4" t="s">
        <v>9</v>
      </c>
      <c r="CB4" t="s">
        <v>9</v>
      </c>
      <c r="CC4" s="3">
        <v>44454</v>
      </c>
      <c r="CD4" t="s">
        <v>35</v>
      </c>
      <c r="CE4" s="3">
        <v>44454</v>
      </c>
      <c r="CF4" t="s">
        <v>32</v>
      </c>
      <c r="CG4" s="4">
        <v>1</v>
      </c>
      <c r="CH4" t="s">
        <v>9</v>
      </c>
      <c r="CI4" t="s">
        <v>12</v>
      </c>
      <c r="CJ4" t="s">
        <v>13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36</v>
      </c>
      <c r="CR4" t="s">
        <v>9</v>
      </c>
      <c r="CS4" t="s">
        <v>9</v>
      </c>
      <c r="CT4" t="s">
        <v>13</v>
      </c>
      <c r="CU4" s="2">
        <v>0</v>
      </c>
      <c r="CV4" t="s">
        <v>9</v>
      </c>
      <c r="CW4" t="s">
        <v>7</v>
      </c>
      <c r="CX4" t="s">
        <v>9</v>
      </c>
      <c r="CY4" t="s">
        <v>9</v>
      </c>
      <c r="CZ4" t="s">
        <v>37</v>
      </c>
      <c r="DA4" s="3"/>
      <c r="DB4" t="s">
        <v>9</v>
      </c>
      <c r="DC4" s="3"/>
      <c r="DD4" s="4">
        <v>0</v>
      </c>
      <c r="DE4" s="4">
        <v>0</v>
      </c>
      <c r="DF4" s="4">
        <v>0</v>
      </c>
      <c r="DG4" s="4">
        <v>0</v>
      </c>
      <c r="DH4" t="s">
        <v>9</v>
      </c>
      <c r="DI4" t="s">
        <v>9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5">
        <v>0</v>
      </c>
      <c r="DQ4" s="5">
        <v>0</v>
      </c>
      <c r="DR4" t="s">
        <v>13</v>
      </c>
      <c r="DS4" t="s">
        <v>9</v>
      </c>
      <c r="DT4" t="s">
        <v>9</v>
      </c>
      <c r="DU4" s="3">
        <v>44453</v>
      </c>
      <c r="DV4" t="s">
        <v>13</v>
      </c>
      <c r="DW4" t="s">
        <v>13</v>
      </c>
      <c r="DX4" t="s">
        <v>9</v>
      </c>
      <c r="DY4" t="s">
        <v>16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13</v>
      </c>
      <c r="EF4" t="s">
        <v>9</v>
      </c>
      <c r="EG4" t="s">
        <v>9</v>
      </c>
      <c r="EH4" t="s">
        <v>9</v>
      </c>
      <c r="EI4" t="s">
        <v>9</v>
      </c>
      <c r="EJ4" s="5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s="2">
        <v>0</v>
      </c>
      <c r="EZ4" s="2">
        <v>0</v>
      </c>
      <c r="FA4" t="s">
        <v>9</v>
      </c>
      <c r="FB4" t="s">
        <v>9</v>
      </c>
      <c r="FC4" t="s">
        <v>9</v>
      </c>
      <c r="FD4" s="2">
        <v>0</v>
      </c>
      <c r="FE4" s="2">
        <v>0</v>
      </c>
      <c r="FF4" s="2">
        <v>0</v>
      </c>
      <c r="FG4" t="s">
        <v>13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13</v>
      </c>
      <c r="FO4" t="s">
        <v>13</v>
      </c>
      <c r="FP4" t="s">
        <v>9</v>
      </c>
      <c r="FQ4" t="s">
        <v>9</v>
      </c>
      <c r="FR4" s="2">
        <v>0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s="3"/>
      <c r="FY4" s="3"/>
      <c r="FZ4" s="5">
        <v>0</v>
      </c>
      <c r="GA4" s="5">
        <v>0</v>
      </c>
      <c r="GB4" s="2">
        <v>0</v>
      </c>
      <c r="GC4" s="2">
        <v>0</v>
      </c>
      <c r="GD4" t="s">
        <v>34</v>
      </c>
      <c r="GE4" t="s">
        <v>18</v>
      </c>
      <c r="GF4" t="s">
        <v>9</v>
      </c>
      <c r="GG4" t="s">
        <v>9</v>
      </c>
      <c r="GH4" t="s">
        <v>13</v>
      </c>
      <c r="GI4" t="s">
        <v>9</v>
      </c>
      <c r="GJ4" t="s">
        <v>9</v>
      </c>
      <c r="GK4" s="2">
        <v>0</v>
      </c>
      <c r="GL4" s="2">
        <v>0</v>
      </c>
      <c r="GM4" t="s">
        <v>9</v>
      </c>
      <c r="GN4" t="s">
        <v>9</v>
      </c>
      <c r="GO4" t="s">
        <v>9</v>
      </c>
      <c r="GP4" s="3"/>
      <c r="GQ4" t="s">
        <v>9</v>
      </c>
      <c r="GR4" t="s">
        <v>9</v>
      </c>
      <c r="GS4" t="s">
        <v>9</v>
      </c>
      <c r="GT4" t="s">
        <v>9</v>
      </c>
      <c r="GU4" t="s">
        <v>11</v>
      </c>
      <c r="GV4" t="s">
        <v>9</v>
      </c>
      <c r="GW4" t="s">
        <v>9</v>
      </c>
      <c r="GX4" t="s">
        <v>9</v>
      </c>
      <c r="GY4" t="s">
        <v>13</v>
      </c>
      <c r="GZ4" t="s">
        <v>13</v>
      </c>
      <c r="HA4" t="s">
        <v>13</v>
      </c>
      <c r="HB4" t="s">
        <v>13</v>
      </c>
      <c r="HC4" s="3"/>
      <c r="HD4" t="s">
        <v>9</v>
      </c>
      <c r="HE4" t="s">
        <v>9</v>
      </c>
      <c r="HF4" t="s">
        <v>9</v>
      </c>
      <c r="HG4" t="s">
        <v>13</v>
      </c>
      <c r="HH4" t="s">
        <v>9</v>
      </c>
      <c r="HI4" s="2">
        <v>0</v>
      </c>
      <c r="HJ4" s="2">
        <v>0</v>
      </c>
      <c r="HK4" t="s">
        <v>9</v>
      </c>
      <c r="HL4" t="s">
        <v>13</v>
      </c>
      <c r="HM4" t="s">
        <v>13</v>
      </c>
      <c r="HN4" t="s">
        <v>9</v>
      </c>
      <c r="HO4" s="3"/>
      <c r="HP4" s="3"/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t="s">
        <v>9</v>
      </c>
      <c r="IC4" t="s">
        <v>13</v>
      </c>
      <c r="ID4" t="s">
        <v>9</v>
      </c>
      <c r="IE4" t="s">
        <v>11</v>
      </c>
      <c r="IF4" t="s">
        <v>9</v>
      </c>
      <c r="IG4" t="s">
        <v>9</v>
      </c>
      <c r="IH4" t="s">
        <v>7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s="3">
        <v>44453</v>
      </c>
      <c r="IT4" t="s">
        <v>9</v>
      </c>
      <c r="IU4" t="s">
        <v>9</v>
      </c>
      <c r="IV4" s="2">
        <v>0</v>
      </c>
      <c r="IW4" s="2">
        <v>0</v>
      </c>
      <c r="IX4" s="2">
        <v>0</v>
      </c>
      <c r="IY4" t="s">
        <v>9</v>
      </c>
      <c r="IZ4" t="s">
        <v>38</v>
      </c>
      <c r="JA4" t="s">
        <v>39</v>
      </c>
      <c r="JB4" t="s">
        <v>39</v>
      </c>
      <c r="JC4" t="s">
        <v>6</v>
      </c>
      <c r="JD4" s="2">
        <v>0</v>
      </c>
      <c r="JE4" s="2">
        <v>0</v>
      </c>
      <c r="JF4" t="s">
        <v>9</v>
      </c>
      <c r="JG4" t="s">
        <v>11</v>
      </c>
      <c r="JH4" s="6">
        <v>0</v>
      </c>
      <c r="JI4" t="s">
        <v>9</v>
      </c>
      <c r="JJ4" t="s">
        <v>9</v>
      </c>
      <c r="JK4" t="s">
        <v>9</v>
      </c>
      <c r="JL4" t="s">
        <v>9</v>
      </c>
      <c r="JM4" t="s">
        <v>13</v>
      </c>
      <c r="JN4" s="2">
        <v>0</v>
      </c>
      <c r="JO4" s="2">
        <v>0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s="2">
        <v>0</v>
      </c>
      <c r="KB4" t="s">
        <v>9</v>
      </c>
      <c r="KC4" t="s">
        <v>13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0</v>
      </c>
      <c r="KL4" t="s">
        <v>9</v>
      </c>
      <c r="KM4" s="2">
        <v>0</v>
      </c>
      <c r="KN4" s="2">
        <v>0</v>
      </c>
      <c r="KO4" s="2">
        <v>0</v>
      </c>
      <c r="KP4" s="2">
        <v>0</v>
      </c>
      <c r="KQ4" t="s">
        <v>13</v>
      </c>
      <c r="KR4" s="2">
        <v>0</v>
      </c>
      <c r="KS4" t="s">
        <v>13</v>
      </c>
      <c r="KT4" s="2">
        <v>0</v>
      </c>
      <c r="KU4" s="3"/>
      <c r="KV4" t="s">
        <v>9</v>
      </c>
      <c r="KW4" t="s">
        <v>9</v>
      </c>
      <c r="KX4" t="s">
        <v>9</v>
      </c>
      <c r="KY4" s="2">
        <v>0</v>
      </c>
      <c r="KZ4" t="s">
        <v>9</v>
      </c>
      <c r="LA4" t="s">
        <v>9</v>
      </c>
      <c r="LB4" t="s">
        <v>3</v>
      </c>
      <c r="LC4" t="s">
        <v>9</v>
      </c>
      <c r="LD4" s="3">
        <v>44453</v>
      </c>
      <c r="LE4" t="s">
        <v>40</v>
      </c>
      <c r="LF4" t="s">
        <v>9</v>
      </c>
      <c r="LG4" s="2">
        <v>0</v>
      </c>
      <c r="LH4" s="2">
        <v>0</v>
      </c>
      <c r="LI4" t="s">
        <v>9</v>
      </c>
      <c r="LJ4" s="4">
        <v>0</v>
      </c>
      <c r="LK4" s="3"/>
      <c r="LL4" t="s">
        <v>13</v>
      </c>
      <c r="LM4" t="s">
        <v>9</v>
      </c>
      <c r="LN4" t="s">
        <v>9</v>
      </c>
      <c r="LO4" s="5">
        <v>0</v>
      </c>
      <c r="LP4" s="5">
        <v>0</v>
      </c>
      <c r="LQ4" s="5">
        <v>0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s="3"/>
      <c r="LY4" t="s">
        <v>9</v>
      </c>
      <c r="LZ4" t="s">
        <v>9</v>
      </c>
      <c r="MA4" t="s">
        <v>9</v>
      </c>
      <c r="MB4" t="s">
        <v>22</v>
      </c>
      <c r="MC4" s="3"/>
      <c r="MD4" t="s">
        <v>9</v>
      </c>
      <c r="ME4" t="s">
        <v>9</v>
      </c>
      <c r="MF4" t="s">
        <v>13</v>
      </c>
      <c r="MG4" t="s">
        <v>11</v>
      </c>
      <c r="MH4" t="s">
        <v>9</v>
      </c>
      <c r="MI4" t="s">
        <v>13</v>
      </c>
      <c r="MJ4" t="s">
        <v>9</v>
      </c>
      <c r="MK4" t="s">
        <v>9</v>
      </c>
      <c r="ML4" t="s">
        <v>9</v>
      </c>
      <c r="MM4" t="s">
        <v>13</v>
      </c>
      <c r="MN4" t="s">
        <v>13</v>
      </c>
      <c r="MO4" t="s">
        <v>9</v>
      </c>
      <c r="MP4" t="s">
        <v>9</v>
      </c>
      <c r="MQ4" t="s">
        <v>13</v>
      </c>
      <c r="MR4" t="s">
        <v>41</v>
      </c>
      <c r="MS4" t="s">
        <v>9</v>
      </c>
      <c r="MT4" t="s">
        <v>9</v>
      </c>
      <c r="MU4" t="s">
        <v>9</v>
      </c>
      <c r="MV4" t="s">
        <v>9</v>
      </c>
      <c r="MW4" s="2">
        <v>0</v>
      </c>
      <c r="MX4" t="s">
        <v>9</v>
      </c>
      <c r="MY4" t="s">
        <v>9</v>
      </c>
      <c r="MZ4" t="s">
        <v>13</v>
      </c>
      <c r="NA4" t="s">
        <v>9</v>
      </c>
      <c r="NB4" t="s">
        <v>9</v>
      </c>
      <c r="NC4" t="s">
        <v>42</v>
      </c>
      <c r="ND4" t="s">
        <v>9</v>
      </c>
      <c r="NE4" t="s">
        <v>9</v>
      </c>
      <c r="NF4" t="s">
        <v>13</v>
      </c>
      <c r="NG4" s="2">
        <v>0</v>
      </c>
      <c r="NH4" s="2">
        <v>0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s="3"/>
      <c r="NO4" t="s">
        <v>9</v>
      </c>
      <c r="NP4" t="s">
        <v>9</v>
      </c>
      <c r="NQ4" t="s">
        <v>9</v>
      </c>
      <c r="NR4" s="2">
        <v>0</v>
      </c>
      <c r="NS4" t="s">
        <v>9</v>
      </c>
      <c r="NT4" t="s">
        <v>9</v>
      </c>
      <c r="NU4" t="s">
        <v>43</v>
      </c>
      <c r="NV4" t="s">
        <v>9</v>
      </c>
      <c r="NW4" t="s">
        <v>9</v>
      </c>
      <c r="NX4" s="3"/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s="2">
        <v>0</v>
      </c>
      <c r="OG4" s="2">
        <v>0</v>
      </c>
      <c r="OH4" s="2">
        <v>0</v>
      </c>
      <c r="OI4" t="s">
        <v>9</v>
      </c>
      <c r="OJ4" s="3"/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s="2">
        <v>0</v>
      </c>
      <c r="OR4" s="2">
        <v>0</v>
      </c>
      <c r="OS4" t="s">
        <v>9</v>
      </c>
      <c r="OT4" s="2">
        <v>0</v>
      </c>
      <c r="OU4" t="s">
        <v>9</v>
      </c>
      <c r="OV4" t="s">
        <v>9</v>
      </c>
      <c r="OW4" t="s">
        <v>9</v>
      </c>
    </row>
    <row r="5" spans="1:413" x14ac:dyDescent="0.25">
      <c r="A5" t="s">
        <v>44</v>
      </c>
      <c r="B5" t="s">
        <v>1</v>
      </c>
      <c r="C5" t="s">
        <v>45</v>
      </c>
      <c r="D5" t="s">
        <v>3</v>
      </c>
      <c r="E5" t="s">
        <v>4</v>
      </c>
      <c r="F5" t="s">
        <v>5</v>
      </c>
      <c r="G5" t="s">
        <v>6</v>
      </c>
      <c r="H5" s="2">
        <v>2000</v>
      </c>
      <c r="I5" s="2">
        <v>2000</v>
      </c>
      <c r="J5" s="2">
        <v>0</v>
      </c>
      <c r="K5" s="2">
        <v>2000</v>
      </c>
      <c r="L5" t="s">
        <v>27</v>
      </c>
      <c r="M5" t="s">
        <v>9</v>
      </c>
      <c r="N5" t="s">
        <v>46</v>
      </c>
      <c r="O5" t="s">
        <v>49</v>
      </c>
      <c r="P5" t="s">
        <v>9</v>
      </c>
      <c r="Q5" t="s">
        <v>47</v>
      </c>
      <c r="R5" t="str">
        <f t="shared" si="0"/>
        <v>123000_20001_Sunny</v>
      </c>
      <c r="S5" t="e">
        <f>VLOOKUP(R5,[1]Sheet1!$R$2:$AX$4,33,0)</f>
        <v>#N/A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s="2">
        <v>0</v>
      </c>
      <c r="Z5" t="s">
        <v>9</v>
      </c>
      <c r="AA5" t="s">
        <v>9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t="s">
        <v>9</v>
      </c>
      <c r="AQ5" t="s">
        <v>9</v>
      </c>
      <c r="AR5" t="s">
        <v>9</v>
      </c>
      <c r="AS5" s="3"/>
      <c r="AT5" s="3"/>
      <c r="AU5" t="s">
        <v>48</v>
      </c>
      <c r="AV5" t="s">
        <v>11</v>
      </c>
      <c r="AW5" t="s">
        <v>9</v>
      </c>
      <c r="AX5" s="3">
        <v>43663</v>
      </c>
      <c r="AY5" t="s">
        <v>9</v>
      </c>
      <c r="AZ5" t="s">
        <v>9</v>
      </c>
      <c r="BA5" t="s">
        <v>9</v>
      </c>
      <c r="BB5" s="3"/>
      <c r="BC5" s="3"/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s="3">
        <v>43663</v>
      </c>
      <c r="BS5" s="3">
        <v>43663</v>
      </c>
      <c r="BT5" t="s">
        <v>9</v>
      </c>
      <c r="BU5" s="2">
        <v>0</v>
      </c>
      <c r="BV5" t="s">
        <v>9</v>
      </c>
      <c r="BW5" s="2">
        <v>0</v>
      </c>
      <c r="BX5" s="2">
        <v>0</v>
      </c>
      <c r="BY5" s="2">
        <v>0</v>
      </c>
      <c r="BZ5" s="2">
        <v>2000</v>
      </c>
      <c r="CA5" t="s">
        <v>9</v>
      </c>
      <c r="CB5" t="s">
        <v>9</v>
      </c>
      <c r="CC5" s="3"/>
      <c r="CD5" t="s">
        <v>9</v>
      </c>
      <c r="CE5" s="3"/>
      <c r="CF5" t="s">
        <v>9</v>
      </c>
      <c r="CG5" s="4">
        <v>0</v>
      </c>
      <c r="CH5" t="s">
        <v>9</v>
      </c>
      <c r="CI5" t="s">
        <v>12</v>
      </c>
      <c r="CJ5" t="s">
        <v>13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44</v>
      </c>
      <c r="CR5" t="s">
        <v>9</v>
      </c>
      <c r="CS5" t="s">
        <v>9</v>
      </c>
      <c r="CT5" t="s">
        <v>13</v>
      </c>
      <c r="CU5" s="2">
        <v>0</v>
      </c>
      <c r="CV5" t="s">
        <v>9</v>
      </c>
      <c r="CW5" t="s">
        <v>27</v>
      </c>
      <c r="CX5" t="s">
        <v>9</v>
      </c>
      <c r="CY5" t="s">
        <v>9</v>
      </c>
      <c r="CZ5" t="s">
        <v>49</v>
      </c>
      <c r="DA5" s="3"/>
      <c r="DB5" t="s">
        <v>9</v>
      </c>
      <c r="DC5" s="3"/>
      <c r="DD5" s="4">
        <v>0</v>
      </c>
      <c r="DE5" s="4">
        <v>0</v>
      </c>
      <c r="DF5" s="4">
        <v>0</v>
      </c>
      <c r="DG5" s="4">
        <v>0</v>
      </c>
      <c r="DH5" t="s">
        <v>9</v>
      </c>
      <c r="DI5" t="s">
        <v>9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5">
        <v>0</v>
      </c>
      <c r="DQ5" s="5">
        <v>0</v>
      </c>
      <c r="DR5" t="s">
        <v>13</v>
      </c>
      <c r="DS5" t="s">
        <v>9</v>
      </c>
      <c r="DT5" t="s">
        <v>9</v>
      </c>
      <c r="DU5" s="3">
        <v>43663</v>
      </c>
      <c r="DV5" t="s">
        <v>13</v>
      </c>
      <c r="DW5" t="s">
        <v>13</v>
      </c>
      <c r="DX5" t="s">
        <v>9</v>
      </c>
      <c r="DY5" t="s">
        <v>16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13</v>
      </c>
      <c r="EF5" t="s">
        <v>9</v>
      </c>
      <c r="EG5" t="s">
        <v>9</v>
      </c>
      <c r="EH5" t="s">
        <v>9</v>
      </c>
      <c r="EI5" t="s">
        <v>9</v>
      </c>
      <c r="EJ5" s="5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s="2">
        <v>0</v>
      </c>
      <c r="EZ5" s="2">
        <v>0</v>
      </c>
      <c r="FA5" t="s">
        <v>9</v>
      </c>
      <c r="FB5" t="s">
        <v>9</v>
      </c>
      <c r="FC5" t="s">
        <v>9</v>
      </c>
      <c r="FD5" s="2">
        <v>0</v>
      </c>
      <c r="FE5" s="2">
        <v>0</v>
      </c>
      <c r="FF5" s="2">
        <v>0</v>
      </c>
      <c r="FG5" t="s">
        <v>13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13</v>
      </c>
      <c r="FO5" t="s">
        <v>13</v>
      </c>
      <c r="FP5" t="s">
        <v>9</v>
      </c>
      <c r="FQ5" t="s">
        <v>9</v>
      </c>
      <c r="FR5" s="2">
        <v>0</v>
      </c>
      <c r="FS5" t="s">
        <v>9</v>
      </c>
      <c r="FT5" t="s">
        <v>9</v>
      </c>
      <c r="FU5" t="s">
        <v>9</v>
      </c>
      <c r="FV5" t="s">
        <v>9</v>
      </c>
      <c r="FW5" t="s">
        <v>9</v>
      </c>
      <c r="FX5" s="3"/>
      <c r="FY5" s="3"/>
      <c r="FZ5" s="5">
        <v>0</v>
      </c>
      <c r="GA5" s="5">
        <v>0</v>
      </c>
      <c r="GB5" s="2">
        <v>0</v>
      </c>
      <c r="GC5" s="2">
        <v>0</v>
      </c>
      <c r="GD5" t="s">
        <v>47</v>
      </c>
      <c r="GE5" t="s">
        <v>18</v>
      </c>
      <c r="GF5" t="s">
        <v>9</v>
      </c>
      <c r="GG5" t="s">
        <v>9</v>
      </c>
      <c r="GH5" t="s">
        <v>13</v>
      </c>
      <c r="GI5" t="s">
        <v>9</v>
      </c>
      <c r="GJ5" t="s">
        <v>9</v>
      </c>
      <c r="GK5" s="2">
        <v>0</v>
      </c>
      <c r="GL5" s="2">
        <v>0</v>
      </c>
      <c r="GM5" t="s">
        <v>9</v>
      </c>
      <c r="GN5" t="s">
        <v>9</v>
      </c>
      <c r="GO5" t="s">
        <v>9</v>
      </c>
      <c r="GP5" s="3"/>
      <c r="GQ5" t="s">
        <v>9</v>
      </c>
      <c r="GR5" t="s">
        <v>9</v>
      </c>
      <c r="GS5" t="s">
        <v>9</v>
      </c>
      <c r="GT5" t="s">
        <v>9</v>
      </c>
      <c r="GU5" t="s">
        <v>9</v>
      </c>
      <c r="GV5" t="s">
        <v>9</v>
      </c>
      <c r="GW5" t="s">
        <v>9</v>
      </c>
      <c r="GX5" t="s">
        <v>9</v>
      </c>
      <c r="GY5" t="s">
        <v>13</v>
      </c>
      <c r="GZ5" t="s">
        <v>13</v>
      </c>
      <c r="HA5" t="s">
        <v>13</v>
      </c>
      <c r="HB5" t="s">
        <v>13</v>
      </c>
      <c r="HC5" s="3"/>
      <c r="HD5" t="s">
        <v>9</v>
      </c>
      <c r="HE5" t="s">
        <v>9</v>
      </c>
      <c r="HF5" t="s">
        <v>9</v>
      </c>
      <c r="HG5" t="s">
        <v>13</v>
      </c>
      <c r="HH5" t="s">
        <v>9</v>
      </c>
      <c r="HI5" s="2">
        <v>0</v>
      </c>
      <c r="HJ5" s="2">
        <v>0</v>
      </c>
      <c r="HK5" t="s">
        <v>9</v>
      </c>
      <c r="HL5" t="s">
        <v>13</v>
      </c>
      <c r="HM5" t="s">
        <v>13</v>
      </c>
      <c r="HN5" t="s">
        <v>9</v>
      </c>
      <c r="HO5" s="3"/>
      <c r="HP5" s="3"/>
      <c r="HQ5" s="2">
        <v>0</v>
      </c>
      <c r="HR5" s="2">
        <v>0</v>
      </c>
      <c r="HS5" s="2">
        <v>0</v>
      </c>
      <c r="HT5" s="2">
        <v>2000</v>
      </c>
      <c r="HU5" s="2">
        <v>0</v>
      </c>
      <c r="HV5" s="2">
        <v>0</v>
      </c>
      <c r="HW5" s="2">
        <v>0</v>
      </c>
      <c r="HX5" s="2">
        <v>2000</v>
      </c>
      <c r="HY5" s="2">
        <v>0</v>
      </c>
      <c r="HZ5" s="2">
        <v>0</v>
      </c>
      <c r="IA5" s="2">
        <v>0</v>
      </c>
      <c r="IB5" t="s">
        <v>9</v>
      </c>
      <c r="IC5" t="s">
        <v>13</v>
      </c>
      <c r="ID5" t="s">
        <v>9</v>
      </c>
      <c r="IE5" t="s">
        <v>11</v>
      </c>
      <c r="IF5" t="s">
        <v>9</v>
      </c>
      <c r="IG5" t="s">
        <v>9</v>
      </c>
      <c r="IH5" t="s">
        <v>27</v>
      </c>
      <c r="II5" t="s">
        <v>27</v>
      </c>
      <c r="IJ5" t="s">
        <v>27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50</v>
      </c>
      <c r="IQ5" t="s">
        <v>9</v>
      </c>
      <c r="IR5" t="s">
        <v>9</v>
      </c>
      <c r="IS5" s="3">
        <v>43663</v>
      </c>
      <c r="IT5" t="s">
        <v>9</v>
      </c>
      <c r="IU5" t="s">
        <v>9</v>
      </c>
      <c r="IV5" s="2">
        <v>0</v>
      </c>
      <c r="IW5" s="2">
        <v>0</v>
      </c>
      <c r="IX5" s="2">
        <v>0</v>
      </c>
      <c r="IY5" t="s">
        <v>9</v>
      </c>
      <c r="IZ5" t="s">
        <v>51</v>
      </c>
      <c r="JA5" t="s">
        <v>52</v>
      </c>
      <c r="JB5" t="s">
        <v>52</v>
      </c>
      <c r="JC5" t="s">
        <v>6</v>
      </c>
      <c r="JD5" s="2">
        <v>0</v>
      </c>
      <c r="JE5" s="2">
        <v>0</v>
      </c>
      <c r="JF5" t="s">
        <v>9</v>
      </c>
      <c r="JG5" t="s">
        <v>11</v>
      </c>
      <c r="JH5" s="6">
        <v>0</v>
      </c>
      <c r="JI5" t="s">
        <v>9</v>
      </c>
      <c r="JJ5" t="s">
        <v>9</v>
      </c>
      <c r="JK5" t="s">
        <v>9</v>
      </c>
      <c r="JL5" t="s">
        <v>9</v>
      </c>
      <c r="JM5" t="s">
        <v>13</v>
      </c>
      <c r="JN5" s="2">
        <v>0</v>
      </c>
      <c r="JO5" s="2">
        <v>0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s="2">
        <v>0</v>
      </c>
      <c r="KB5" t="s">
        <v>9</v>
      </c>
      <c r="KC5" t="s">
        <v>13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s="2">
        <v>0</v>
      </c>
      <c r="KN5" s="2">
        <v>0</v>
      </c>
      <c r="KO5" s="2">
        <v>0</v>
      </c>
      <c r="KP5" s="2">
        <v>0</v>
      </c>
      <c r="KQ5" t="s">
        <v>13</v>
      </c>
      <c r="KR5" s="2">
        <v>0</v>
      </c>
      <c r="KS5" t="s">
        <v>13</v>
      </c>
      <c r="KT5" s="2">
        <v>0</v>
      </c>
      <c r="KU5" s="3"/>
      <c r="KV5" t="s">
        <v>9</v>
      </c>
      <c r="KW5" t="s">
        <v>9</v>
      </c>
      <c r="KX5" t="s">
        <v>9</v>
      </c>
      <c r="KY5" s="2">
        <v>0</v>
      </c>
      <c r="KZ5" t="s">
        <v>9</v>
      </c>
      <c r="LA5" t="s">
        <v>9</v>
      </c>
      <c r="LB5" t="s">
        <v>3</v>
      </c>
      <c r="LC5" t="s">
        <v>9</v>
      </c>
      <c r="LD5" s="3">
        <v>43663</v>
      </c>
      <c r="LE5" t="s">
        <v>53</v>
      </c>
      <c r="LF5" t="s">
        <v>9</v>
      </c>
      <c r="LG5" s="2">
        <v>0</v>
      </c>
      <c r="LH5" s="2">
        <v>0</v>
      </c>
      <c r="LI5" t="s">
        <v>9</v>
      </c>
      <c r="LJ5" s="4">
        <v>0</v>
      </c>
      <c r="LK5" s="3"/>
      <c r="LL5" t="s">
        <v>13</v>
      </c>
      <c r="LM5" t="s">
        <v>9</v>
      </c>
      <c r="LN5" t="s">
        <v>9</v>
      </c>
      <c r="LO5" s="5">
        <v>0</v>
      </c>
      <c r="LP5" s="5">
        <v>0</v>
      </c>
      <c r="LQ5" s="5">
        <v>0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s="3"/>
      <c r="LY5" t="s">
        <v>9</v>
      </c>
      <c r="LZ5" t="s">
        <v>9</v>
      </c>
      <c r="MA5" t="s">
        <v>9</v>
      </c>
      <c r="MB5" t="s">
        <v>22</v>
      </c>
      <c r="MC5" s="3"/>
      <c r="MD5" t="s">
        <v>9</v>
      </c>
      <c r="ME5" t="s">
        <v>9</v>
      </c>
      <c r="MF5" t="s">
        <v>13</v>
      </c>
      <c r="MG5" t="s">
        <v>11</v>
      </c>
      <c r="MH5" t="s">
        <v>9</v>
      </c>
      <c r="MI5" t="s">
        <v>13</v>
      </c>
      <c r="MJ5" t="s">
        <v>9</v>
      </c>
      <c r="MK5" t="s">
        <v>9</v>
      </c>
      <c r="ML5" t="s">
        <v>9</v>
      </c>
      <c r="MM5" t="s">
        <v>13</v>
      </c>
      <c r="MN5" t="s">
        <v>13</v>
      </c>
      <c r="MO5" t="s">
        <v>9</v>
      </c>
      <c r="MP5" t="s">
        <v>9</v>
      </c>
      <c r="MQ5" t="s">
        <v>13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s="2">
        <v>0</v>
      </c>
      <c r="MX5" t="s">
        <v>9</v>
      </c>
      <c r="MY5" t="s">
        <v>9</v>
      </c>
      <c r="MZ5" t="s">
        <v>13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13</v>
      </c>
      <c r="NG5" s="2">
        <v>0</v>
      </c>
      <c r="NH5" s="2">
        <v>0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s="3"/>
      <c r="NO5" t="s">
        <v>9</v>
      </c>
      <c r="NP5" t="s">
        <v>9</v>
      </c>
      <c r="NQ5" t="s">
        <v>9</v>
      </c>
      <c r="NR5" s="2">
        <v>0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s="3"/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s="2">
        <v>0</v>
      </c>
      <c r="OG5" s="2">
        <v>0</v>
      </c>
      <c r="OH5" s="2">
        <v>0</v>
      </c>
      <c r="OI5" t="s">
        <v>9</v>
      </c>
      <c r="OJ5" s="3"/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s="2">
        <v>0</v>
      </c>
      <c r="OR5" s="2">
        <v>0</v>
      </c>
      <c r="OS5" t="s">
        <v>9</v>
      </c>
      <c r="OT5" s="2">
        <v>0</v>
      </c>
      <c r="OU5" t="s">
        <v>9</v>
      </c>
      <c r="OV5" t="s">
        <v>9</v>
      </c>
      <c r="OW5" t="s">
        <v>9</v>
      </c>
    </row>
    <row r="6" spans="1:413" x14ac:dyDescent="0.25">
      <c r="A6" t="s">
        <v>44</v>
      </c>
      <c r="B6" t="s">
        <v>24</v>
      </c>
      <c r="C6" t="s">
        <v>54</v>
      </c>
      <c r="D6" t="s">
        <v>3</v>
      </c>
      <c r="E6" t="s">
        <v>4</v>
      </c>
      <c r="F6" t="s">
        <v>5</v>
      </c>
      <c r="G6" t="s">
        <v>6</v>
      </c>
      <c r="H6" s="2">
        <v>154.32</v>
      </c>
      <c r="I6" s="2">
        <v>10000</v>
      </c>
      <c r="J6" s="2">
        <v>0</v>
      </c>
      <c r="K6" s="2">
        <v>10000</v>
      </c>
      <c r="L6" t="s">
        <v>7</v>
      </c>
      <c r="M6" t="s">
        <v>8</v>
      </c>
      <c r="N6" t="s">
        <v>9</v>
      </c>
      <c r="O6" t="s">
        <v>56</v>
      </c>
      <c r="P6" t="s">
        <v>9</v>
      </c>
      <c r="Q6" t="s">
        <v>55</v>
      </c>
      <c r="R6" t="str">
        <f t="shared" si="0"/>
        <v>121000_CCCC_Sunny</v>
      </c>
      <c r="S6" t="e">
        <f>VLOOKUP(R6,[1]Sheet1!$R$2:$AX$4,33,0)</f>
        <v>#N/A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s="2">
        <v>0</v>
      </c>
      <c r="Z6" t="s">
        <v>9</v>
      </c>
      <c r="AA6" t="s">
        <v>9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t="s">
        <v>9</v>
      </c>
      <c r="AQ6" t="s">
        <v>9</v>
      </c>
      <c r="AR6" t="s">
        <v>9</v>
      </c>
      <c r="AS6" s="3"/>
      <c r="AT6" s="3"/>
      <c r="AU6" t="s">
        <v>9</v>
      </c>
      <c r="AV6" t="s">
        <v>11</v>
      </c>
      <c r="AW6" t="s">
        <v>9</v>
      </c>
      <c r="AX6" s="3">
        <v>43192</v>
      </c>
      <c r="AY6" t="s">
        <v>9</v>
      </c>
      <c r="AZ6" t="s">
        <v>9</v>
      </c>
      <c r="BA6" t="s">
        <v>9</v>
      </c>
      <c r="BB6" s="3"/>
      <c r="BC6" s="3"/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s="3">
        <v>43192</v>
      </c>
      <c r="BS6" s="3">
        <v>43192</v>
      </c>
      <c r="BT6" t="s">
        <v>9</v>
      </c>
      <c r="BU6" s="2">
        <v>0</v>
      </c>
      <c r="BV6" t="s">
        <v>9</v>
      </c>
      <c r="BW6" s="2">
        <v>0</v>
      </c>
      <c r="BX6" s="2">
        <v>0</v>
      </c>
      <c r="BY6" s="2">
        <v>0</v>
      </c>
      <c r="BZ6" s="2">
        <v>10000</v>
      </c>
      <c r="CA6" t="s">
        <v>9</v>
      </c>
      <c r="CB6" t="s">
        <v>9</v>
      </c>
      <c r="CC6" s="3"/>
      <c r="CD6" t="s">
        <v>9</v>
      </c>
      <c r="CE6" s="3"/>
      <c r="CF6" t="s">
        <v>9</v>
      </c>
      <c r="CG6" s="4">
        <v>0</v>
      </c>
      <c r="CH6" t="s">
        <v>9</v>
      </c>
      <c r="CI6" t="s">
        <v>12</v>
      </c>
      <c r="CJ6" t="s">
        <v>13</v>
      </c>
      <c r="CK6" t="s">
        <v>9</v>
      </c>
      <c r="CL6" t="s">
        <v>9</v>
      </c>
      <c r="CM6" t="s">
        <v>9</v>
      </c>
      <c r="CN6" t="s">
        <v>9</v>
      </c>
      <c r="CO6" t="s">
        <v>9</v>
      </c>
      <c r="CP6" t="s">
        <v>9</v>
      </c>
      <c r="CQ6" t="s">
        <v>44</v>
      </c>
      <c r="CR6" t="s">
        <v>9</v>
      </c>
      <c r="CS6" t="s">
        <v>9</v>
      </c>
      <c r="CT6" t="s">
        <v>13</v>
      </c>
      <c r="CU6" s="2">
        <v>0</v>
      </c>
      <c r="CV6" t="s">
        <v>9</v>
      </c>
      <c r="CW6" t="s">
        <v>7</v>
      </c>
      <c r="CX6" t="s">
        <v>9</v>
      </c>
      <c r="CY6" t="s">
        <v>9</v>
      </c>
      <c r="CZ6" t="s">
        <v>56</v>
      </c>
      <c r="DA6" s="3"/>
      <c r="DB6" t="s">
        <v>9</v>
      </c>
      <c r="DC6" s="3"/>
      <c r="DD6" s="4">
        <v>0</v>
      </c>
      <c r="DE6" s="4">
        <v>0</v>
      </c>
      <c r="DF6" s="4">
        <v>0</v>
      </c>
      <c r="DG6" s="4">
        <v>0</v>
      </c>
      <c r="DH6" t="s">
        <v>9</v>
      </c>
      <c r="DI6" t="s">
        <v>9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5">
        <v>0</v>
      </c>
      <c r="DQ6" s="5">
        <v>0</v>
      </c>
      <c r="DR6" t="s">
        <v>13</v>
      </c>
      <c r="DS6" t="s">
        <v>9</v>
      </c>
      <c r="DT6" t="s">
        <v>9</v>
      </c>
      <c r="DU6" s="3">
        <v>43192</v>
      </c>
      <c r="DV6" t="s">
        <v>13</v>
      </c>
      <c r="DW6" t="s">
        <v>13</v>
      </c>
      <c r="DX6" t="s">
        <v>9</v>
      </c>
      <c r="DY6" t="s">
        <v>16</v>
      </c>
      <c r="DZ6" t="s">
        <v>9</v>
      </c>
      <c r="EA6" t="s">
        <v>9</v>
      </c>
      <c r="EB6" t="s">
        <v>9</v>
      </c>
      <c r="EC6" t="s">
        <v>9</v>
      </c>
      <c r="ED6" t="s">
        <v>9</v>
      </c>
      <c r="EE6" t="s">
        <v>13</v>
      </c>
      <c r="EF6" t="s">
        <v>9</v>
      </c>
      <c r="EG6" t="s">
        <v>9</v>
      </c>
      <c r="EH6" t="s">
        <v>9</v>
      </c>
      <c r="EI6" t="s">
        <v>9</v>
      </c>
      <c r="EJ6" s="5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t="s">
        <v>9</v>
      </c>
      <c r="ES6" t="s">
        <v>9</v>
      </c>
      <c r="ET6" t="s">
        <v>9</v>
      </c>
      <c r="EU6" t="s">
        <v>9</v>
      </c>
      <c r="EV6" t="s">
        <v>9</v>
      </c>
      <c r="EW6" t="s">
        <v>9</v>
      </c>
      <c r="EX6" t="s">
        <v>9</v>
      </c>
      <c r="EY6" s="2">
        <v>0</v>
      </c>
      <c r="EZ6" s="2">
        <v>0</v>
      </c>
      <c r="FA6" t="s">
        <v>9</v>
      </c>
      <c r="FB6" t="s">
        <v>9</v>
      </c>
      <c r="FC6" t="s">
        <v>9</v>
      </c>
      <c r="FD6" s="2">
        <v>0</v>
      </c>
      <c r="FE6" s="2">
        <v>0</v>
      </c>
      <c r="FF6" s="2">
        <v>0</v>
      </c>
      <c r="FG6" t="s">
        <v>13</v>
      </c>
      <c r="FH6" t="s">
        <v>9</v>
      </c>
      <c r="FI6" t="s">
        <v>9</v>
      </c>
      <c r="FJ6" t="s">
        <v>9</v>
      </c>
      <c r="FK6" t="s">
        <v>9</v>
      </c>
      <c r="FL6" t="s">
        <v>9</v>
      </c>
      <c r="FM6" t="s">
        <v>9</v>
      </c>
      <c r="FN6" t="s">
        <v>13</v>
      </c>
      <c r="FO6" t="s">
        <v>13</v>
      </c>
      <c r="FP6" t="s">
        <v>9</v>
      </c>
      <c r="FQ6" t="s">
        <v>9</v>
      </c>
      <c r="FR6" s="2">
        <v>0</v>
      </c>
      <c r="FS6" t="s">
        <v>9</v>
      </c>
      <c r="FT6" t="s">
        <v>9</v>
      </c>
      <c r="FU6" t="s">
        <v>9</v>
      </c>
      <c r="FV6" t="s">
        <v>9</v>
      </c>
      <c r="FW6" t="s">
        <v>9</v>
      </c>
      <c r="FX6" s="3"/>
      <c r="FY6" s="3"/>
      <c r="FZ6" s="5">
        <v>0</v>
      </c>
      <c r="GA6" s="5">
        <v>0</v>
      </c>
      <c r="GB6" s="2">
        <v>0</v>
      </c>
      <c r="GC6" s="2">
        <v>0</v>
      </c>
      <c r="GD6" t="s">
        <v>55</v>
      </c>
      <c r="GE6" t="s">
        <v>18</v>
      </c>
      <c r="GF6" t="s">
        <v>9</v>
      </c>
      <c r="GG6" t="s">
        <v>9</v>
      </c>
      <c r="GH6" t="s">
        <v>13</v>
      </c>
      <c r="GI6" t="s">
        <v>9</v>
      </c>
      <c r="GJ6" t="s">
        <v>9</v>
      </c>
      <c r="GK6" s="2">
        <v>0</v>
      </c>
      <c r="GL6" s="2">
        <v>0</v>
      </c>
      <c r="GM6" t="s">
        <v>9</v>
      </c>
      <c r="GN6" t="s">
        <v>9</v>
      </c>
      <c r="GO6" t="s">
        <v>9</v>
      </c>
      <c r="GP6" s="3"/>
      <c r="GQ6" t="s">
        <v>9</v>
      </c>
      <c r="GR6" t="s">
        <v>9</v>
      </c>
      <c r="GS6" t="s">
        <v>9</v>
      </c>
      <c r="GT6" t="s">
        <v>9</v>
      </c>
      <c r="GU6" t="s">
        <v>9</v>
      </c>
      <c r="GV6" t="s">
        <v>9</v>
      </c>
      <c r="GW6" t="s">
        <v>9</v>
      </c>
      <c r="GX6" t="s">
        <v>9</v>
      </c>
      <c r="GY6" t="s">
        <v>13</v>
      </c>
      <c r="GZ6" t="s">
        <v>13</v>
      </c>
      <c r="HA6" t="s">
        <v>13</v>
      </c>
      <c r="HB6" t="s">
        <v>13</v>
      </c>
      <c r="HC6" s="3"/>
      <c r="HD6" t="s">
        <v>9</v>
      </c>
      <c r="HE6" t="s">
        <v>9</v>
      </c>
      <c r="HF6" t="s">
        <v>9</v>
      </c>
      <c r="HG6" t="s">
        <v>13</v>
      </c>
      <c r="HH6" t="s">
        <v>9</v>
      </c>
      <c r="HI6" s="2">
        <v>0</v>
      </c>
      <c r="HJ6" s="2">
        <v>0</v>
      </c>
      <c r="HK6" t="s">
        <v>9</v>
      </c>
      <c r="HL6" t="s">
        <v>13</v>
      </c>
      <c r="HM6" t="s">
        <v>13</v>
      </c>
      <c r="HN6" t="s">
        <v>9</v>
      </c>
      <c r="HO6" s="3"/>
      <c r="HP6" s="3"/>
      <c r="HQ6" s="2">
        <v>0</v>
      </c>
      <c r="HR6" s="2">
        <v>0</v>
      </c>
      <c r="HS6" s="2">
        <v>0</v>
      </c>
      <c r="HT6" s="2">
        <v>154.32</v>
      </c>
      <c r="HU6" s="2">
        <v>0</v>
      </c>
      <c r="HV6" s="2">
        <v>0</v>
      </c>
      <c r="HW6" s="2">
        <v>0</v>
      </c>
      <c r="HX6" s="2">
        <v>154.32</v>
      </c>
      <c r="HY6" s="2">
        <v>0</v>
      </c>
      <c r="HZ6" s="2">
        <v>0</v>
      </c>
      <c r="IA6" s="2">
        <v>0</v>
      </c>
      <c r="IB6" t="s">
        <v>9</v>
      </c>
      <c r="IC6" t="s">
        <v>13</v>
      </c>
      <c r="ID6" t="s">
        <v>9</v>
      </c>
      <c r="IE6" t="s">
        <v>11</v>
      </c>
      <c r="IF6" t="s">
        <v>9</v>
      </c>
      <c r="IG6" t="s">
        <v>9</v>
      </c>
      <c r="IH6" t="s">
        <v>27</v>
      </c>
      <c r="II6" t="s">
        <v>27</v>
      </c>
      <c r="IJ6" t="s">
        <v>27</v>
      </c>
      <c r="IK6" t="s">
        <v>9</v>
      </c>
      <c r="IL6" t="s">
        <v>9</v>
      </c>
      <c r="IM6" t="s">
        <v>9</v>
      </c>
      <c r="IN6" t="s">
        <v>9</v>
      </c>
      <c r="IO6" t="s">
        <v>9</v>
      </c>
      <c r="IP6" t="s">
        <v>9</v>
      </c>
      <c r="IQ6" t="s">
        <v>9</v>
      </c>
      <c r="IR6" t="s">
        <v>9</v>
      </c>
      <c r="IS6" s="3">
        <v>43192</v>
      </c>
      <c r="IT6" t="s">
        <v>9</v>
      </c>
      <c r="IU6" t="s">
        <v>9</v>
      </c>
      <c r="IV6" s="2">
        <v>0</v>
      </c>
      <c r="IW6" s="2">
        <v>0</v>
      </c>
      <c r="IX6" s="2">
        <v>0</v>
      </c>
      <c r="IY6" t="s">
        <v>9</v>
      </c>
      <c r="IZ6" t="s">
        <v>57</v>
      </c>
      <c r="JA6" t="s">
        <v>58</v>
      </c>
      <c r="JB6" t="s">
        <v>58</v>
      </c>
      <c r="JC6" t="s">
        <v>6</v>
      </c>
      <c r="JD6" s="2">
        <v>0</v>
      </c>
      <c r="JE6" s="2">
        <v>0</v>
      </c>
      <c r="JF6" t="s">
        <v>9</v>
      </c>
      <c r="JG6" t="s">
        <v>11</v>
      </c>
      <c r="JH6" s="6">
        <v>0</v>
      </c>
      <c r="JI6" t="s">
        <v>9</v>
      </c>
      <c r="JJ6" t="s">
        <v>9</v>
      </c>
      <c r="JK6" t="s">
        <v>9</v>
      </c>
      <c r="JL6" t="s">
        <v>9</v>
      </c>
      <c r="JM6" t="s">
        <v>13</v>
      </c>
      <c r="JN6" s="2">
        <v>0</v>
      </c>
      <c r="JO6" s="2">
        <v>0</v>
      </c>
      <c r="JP6" t="s">
        <v>9</v>
      </c>
      <c r="JQ6" t="s">
        <v>9</v>
      </c>
      <c r="JR6" t="s">
        <v>9</v>
      </c>
      <c r="JS6" t="s">
        <v>9</v>
      </c>
      <c r="JT6" t="s">
        <v>9</v>
      </c>
      <c r="JU6" t="s">
        <v>9</v>
      </c>
      <c r="JV6" t="s">
        <v>9</v>
      </c>
      <c r="JW6" t="s">
        <v>9</v>
      </c>
      <c r="JX6" t="s">
        <v>9</v>
      </c>
      <c r="JY6" t="s">
        <v>9</v>
      </c>
      <c r="JZ6" t="s">
        <v>9</v>
      </c>
      <c r="KA6" s="2">
        <v>0</v>
      </c>
      <c r="KB6" t="s">
        <v>9</v>
      </c>
      <c r="KC6" t="s">
        <v>13</v>
      </c>
      <c r="KD6" t="s">
        <v>9</v>
      </c>
      <c r="KE6" t="s">
        <v>9</v>
      </c>
      <c r="KF6" t="s">
        <v>9</v>
      </c>
      <c r="KG6" t="s">
        <v>9</v>
      </c>
      <c r="KH6" t="s">
        <v>9</v>
      </c>
      <c r="KI6" t="s">
        <v>9</v>
      </c>
      <c r="KJ6" t="s">
        <v>9</v>
      </c>
      <c r="KK6" t="s">
        <v>9</v>
      </c>
      <c r="KL6" t="s">
        <v>9</v>
      </c>
      <c r="KM6" s="2">
        <v>0</v>
      </c>
      <c r="KN6" s="2">
        <v>0</v>
      </c>
      <c r="KO6" s="2">
        <v>0</v>
      </c>
      <c r="KP6" s="2">
        <v>0</v>
      </c>
      <c r="KQ6" t="s">
        <v>13</v>
      </c>
      <c r="KR6" s="2">
        <v>0</v>
      </c>
      <c r="KS6" t="s">
        <v>13</v>
      </c>
      <c r="KT6" s="2">
        <v>0</v>
      </c>
      <c r="KU6" s="3"/>
      <c r="KV6" t="s">
        <v>9</v>
      </c>
      <c r="KW6" t="s">
        <v>9</v>
      </c>
      <c r="KX6" t="s">
        <v>9</v>
      </c>
      <c r="KY6" s="2">
        <v>0</v>
      </c>
      <c r="KZ6" t="s">
        <v>9</v>
      </c>
      <c r="LA6" t="s">
        <v>9</v>
      </c>
      <c r="LB6" t="s">
        <v>3</v>
      </c>
      <c r="LC6" t="s">
        <v>9</v>
      </c>
      <c r="LD6" s="3">
        <v>43192</v>
      </c>
      <c r="LE6" t="s">
        <v>59</v>
      </c>
      <c r="LF6" t="s">
        <v>9</v>
      </c>
      <c r="LG6" s="2">
        <v>0</v>
      </c>
      <c r="LH6" s="2">
        <v>0</v>
      </c>
      <c r="LI6" t="s">
        <v>9</v>
      </c>
      <c r="LJ6" s="4">
        <v>0</v>
      </c>
      <c r="LK6" s="3"/>
      <c r="LL6" t="s">
        <v>13</v>
      </c>
      <c r="LM6" t="s">
        <v>9</v>
      </c>
      <c r="LN6" t="s">
        <v>9</v>
      </c>
      <c r="LO6" s="5">
        <v>0</v>
      </c>
      <c r="LP6" s="5">
        <v>0</v>
      </c>
      <c r="LQ6" s="5">
        <v>0</v>
      </c>
      <c r="LR6" t="s">
        <v>9</v>
      </c>
      <c r="LS6" t="s">
        <v>9</v>
      </c>
      <c r="LT6" t="s">
        <v>9</v>
      </c>
      <c r="LU6" t="s">
        <v>9</v>
      </c>
      <c r="LV6" t="s">
        <v>9</v>
      </c>
      <c r="LW6" t="s">
        <v>9</v>
      </c>
      <c r="LX6" s="3"/>
      <c r="LY6" t="s">
        <v>9</v>
      </c>
      <c r="LZ6" t="s">
        <v>9</v>
      </c>
      <c r="MA6" t="s">
        <v>9</v>
      </c>
      <c r="MB6" t="s">
        <v>22</v>
      </c>
      <c r="MC6" s="3"/>
      <c r="MD6" t="s">
        <v>9</v>
      </c>
      <c r="ME6" t="s">
        <v>9</v>
      </c>
      <c r="MF6" t="s">
        <v>13</v>
      </c>
      <c r="MG6" t="s">
        <v>11</v>
      </c>
      <c r="MH6" t="s">
        <v>9</v>
      </c>
      <c r="MI6" t="s">
        <v>13</v>
      </c>
      <c r="MJ6" t="s">
        <v>9</v>
      </c>
      <c r="MK6" t="s">
        <v>9</v>
      </c>
      <c r="ML6" t="s">
        <v>9</v>
      </c>
      <c r="MM6" t="s">
        <v>13</v>
      </c>
      <c r="MN6" t="s">
        <v>13</v>
      </c>
      <c r="MO6" t="s">
        <v>9</v>
      </c>
      <c r="MP6" t="s">
        <v>9</v>
      </c>
      <c r="MQ6" t="s">
        <v>13</v>
      </c>
      <c r="MR6" t="s">
        <v>9</v>
      </c>
      <c r="MS6" t="s">
        <v>9</v>
      </c>
      <c r="MT6" t="s">
        <v>9</v>
      </c>
      <c r="MU6" t="s">
        <v>9</v>
      </c>
      <c r="MV6" t="s">
        <v>9</v>
      </c>
      <c r="MW6" s="2">
        <v>0</v>
      </c>
      <c r="MX6" t="s">
        <v>9</v>
      </c>
      <c r="MY6" t="s">
        <v>9</v>
      </c>
      <c r="MZ6" t="s">
        <v>13</v>
      </c>
      <c r="NA6" t="s">
        <v>9</v>
      </c>
      <c r="NB6" t="s">
        <v>9</v>
      </c>
      <c r="NC6" t="s">
        <v>60</v>
      </c>
      <c r="ND6" t="s">
        <v>9</v>
      </c>
      <c r="NE6" t="s">
        <v>9</v>
      </c>
      <c r="NF6" t="s">
        <v>13</v>
      </c>
      <c r="NG6" s="2">
        <v>0</v>
      </c>
      <c r="NH6" s="2">
        <v>0</v>
      </c>
      <c r="NI6" t="s">
        <v>61</v>
      </c>
      <c r="NJ6" t="s">
        <v>9</v>
      </c>
      <c r="NK6" t="s">
        <v>9</v>
      </c>
      <c r="NL6" t="s">
        <v>9</v>
      </c>
      <c r="NM6" t="s">
        <v>9</v>
      </c>
      <c r="NN6" s="3"/>
      <c r="NO6" t="s">
        <v>9</v>
      </c>
      <c r="NP6" t="s">
        <v>9</v>
      </c>
      <c r="NQ6" t="s">
        <v>9</v>
      </c>
      <c r="NR6" s="2">
        <v>0</v>
      </c>
      <c r="NS6" t="s">
        <v>9</v>
      </c>
      <c r="NT6" t="s">
        <v>9</v>
      </c>
      <c r="NU6" t="s">
        <v>9</v>
      </c>
      <c r="NV6" t="s">
        <v>9</v>
      </c>
      <c r="NW6" t="s">
        <v>9</v>
      </c>
      <c r="NX6" s="3"/>
      <c r="NY6" t="s">
        <v>9</v>
      </c>
      <c r="NZ6" t="s">
        <v>9</v>
      </c>
      <c r="OA6" t="s">
        <v>9</v>
      </c>
      <c r="OB6" t="s">
        <v>9</v>
      </c>
      <c r="OC6" t="s">
        <v>9</v>
      </c>
      <c r="OD6" t="s">
        <v>9</v>
      </c>
      <c r="OE6" t="s">
        <v>9</v>
      </c>
      <c r="OF6" s="2">
        <v>0</v>
      </c>
      <c r="OG6" s="2">
        <v>0</v>
      </c>
      <c r="OH6" s="2">
        <v>0</v>
      </c>
      <c r="OI6" t="s">
        <v>9</v>
      </c>
      <c r="OJ6" s="3"/>
      <c r="OK6" t="s">
        <v>9</v>
      </c>
      <c r="OL6" t="s">
        <v>9</v>
      </c>
      <c r="OM6" t="s">
        <v>9</v>
      </c>
      <c r="ON6" t="s">
        <v>9</v>
      </c>
      <c r="OO6" t="s">
        <v>9</v>
      </c>
      <c r="OP6" t="s">
        <v>9</v>
      </c>
      <c r="OQ6" s="2">
        <v>0</v>
      </c>
      <c r="OR6" s="2">
        <v>0</v>
      </c>
      <c r="OS6" t="s">
        <v>9</v>
      </c>
      <c r="OT6" s="2">
        <v>0</v>
      </c>
      <c r="OU6" t="s">
        <v>9</v>
      </c>
      <c r="OV6" t="s">
        <v>9</v>
      </c>
      <c r="OW6" t="s">
        <v>9</v>
      </c>
    </row>
    <row r="7" spans="1:413" x14ac:dyDescent="0.25">
      <c r="A7" t="s">
        <v>44</v>
      </c>
      <c r="B7" t="s">
        <v>24</v>
      </c>
      <c r="C7" t="s">
        <v>32</v>
      </c>
      <c r="D7" t="s">
        <v>3</v>
      </c>
      <c r="E7" t="s">
        <v>4</v>
      </c>
      <c r="F7" t="s">
        <v>5</v>
      </c>
      <c r="G7" t="s">
        <v>6</v>
      </c>
      <c r="H7" s="2">
        <v>177</v>
      </c>
      <c r="I7" s="2">
        <v>177</v>
      </c>
      <c r="J7" s="2">
        <v>0</v>
      </c>
      <c r="K7" s="2">
        <v>177</v>
      </c>
      <c r="L7" t="s">
        <v>27</v>
      </c>
      <c r="M7" t="s">
        <v>8</v>
      </c>
      <c r="N7" t="s">
        <v>9</v>
      </c>
      <c r="O7" t="s">
        <v>62</v>
      </c>
      <c r="P7" t="s">
        <v>9</v>
      </c>
      <c r="Q7" t="s">
        <v>47</v>
      </c>
      <c r="R7" t="str">
        <f t="shared" si="0"/>
        <v>123000_230000010_Sunny</v>
      </c>
      <c r="S7" t="e">
        <f>VLOOKUP(R7,[1]Sheet1!$R$2:$AX$4,33,0)</f>
        <v>#N/A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s="2">
        <v>0</v>
      </c>
      <c r="Z7" t="s">
        <v>9</v>
      </c>
      <c r="AA7" t="s">
        <v>9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t="s">
        <v>9</v>
      </c>
      <c r="AQ7" t="s">
        <v>9</v>
      </c>
      <c r="AR7" t="s">
        <v>9</v>
      </c>
      <c r="AS7" s="3"/>
      <c r="AT7" s="3"/>
      <c r="AU7" t="s">
        <v>9</v>
      </c>
      <c r="AV7" t="s">
        <v>11</v>
      </c>
      <c r="AW7" t="s">
        <v>9</v>
      </c>
      <c r="AX7" s="3">
        <v>44428</v>
      </c>
      <c r="AY7" t="s">
        <v>9</v>
      </c>
      <c r="AZ7" t="s">
        <v>9</v>
      </c>
      <c r="BA7" t="s">
        <v>9</v>
      </c>
      <c r="BB7" s="3"/>
      <c r="BC7" s="3"/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s="3">
        <v>44428</v>
      </c>
      <c r="BS7" s="3">
        <v>44428</v>
      </c>
      <c r="BT7" t="s">
        <v>9</v>
      </c>
      <c r="BU7" s="2">
        <v>0</v>
      </c>
      <c r="BV7" t="s">
        <v>9</v>
      </c>
      <c r="BW7" s="2">
        <v>0</v>
      </c>
      <c r="BX7" s="2">
        <v>0</v>
      </c>
      <c r="BY7" s="2">
        <v>0</v>
      </c>
      <c r="BZ7" s="2">
        <v>177</v>
      </c>
      <c r="CA7" t="s">
        <v>9</v>
      </c>
      <c r="CB7" t="s">
        <v>9</v>
      </c>
      <c r="CC7" s="3"/>
      <c r="CD7" t="s">
        <v>9</v>
      </c>
      <c r="CE7" s="3"/>
      <c r="CF7" t="s">
        <v>9</v>
      </c>
      <c r="CG7" s="4">
        <v>0</v>
      </c>
      <c r="CH7" t="s">
        <v>9</v>
      </c>
      <c r="CI7" t="s">
        <v>12</v>
      </c>
      <c r="CJ7" t="s">
        <v>13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44</v>
      </c>
      <c r="CR7" t="s">
        <v>9</v>
      </c>
      <c r="CS7" t="s">
        <v>9</v>
      </c>
      <c r="CT7" t="s">
        <v>13</v>
      </c>
      <c r="CU7" s="2">
        <v>0</v>
      </c>
      <c r="CV7" t="s">
        <v>9</v>
      </c>
      <c r="CW7" t="s">
        <v>27</v>
      </c>
      <c r="CX7" t="s">
        <v>9</v>
      </c>
      <c r="CY7" t="s">
        <v>9</v>
      </c>
      <c r="CZ7" t="s">
        <v>62</v>
      </c>
      <c r="DA7" s="3"/>
      <c r="DB7" t="s">
        <v>9</v>
      </c>
      <c r="DC7" s="3"/>
      <c r="DD7" s="4">
        <v>0</v>
      </c>
      <c r="DE7" s="4">
        <v>0</v>
      </c>
      <c r="DF7" s="4">
        <v>0</v>
      </c>
      <c r="DG7" s="4">
        <v>0</v>
      </c>
      <c r="DH7" t="s">
        <v>9</v>
      </c>
      <c r="DI7" t="s">
        <v>9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5">
        <v>0</v>
      </c>
      <c r="DQ7" s="5">
        <v>0</v>
      </c>
      <c r="DR7" t="s">
        <v>13</v>
      </c>
      <c r="DS7" t="s">
        <v>9</v>
      </c>
      <c r="DT7" t="s">
        <v>9</v>
      </c>
      <c r="DU7" s="3">
        <v>44428</v>
      </c>
      <c r="DV7" t="s">
        <v>13</v>
      </c>
      <c r="DW7" t="s">
        <v>13</v>
      </c>
      <c r="DX7" t="s">
        <v>9</v>
      </c>
      <c r="DY7" t="s">
        <v>16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13</v>
      </c>
      <c r="EF7" t="s">
        <v>9</v>
      </c>
      <c r="EG7" t="s">
        <v>9</v>
      </c>
      <c r="EH7" t="s">
        <v>9</v>
      </c>
      <c r="EI7" t="s">
        <v>9</v>
      </c>
      <c r="EJ7" s="5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s="2">
        <v>0</v>
      </c>
      <c r="EZ7" s="2">
        <v>0</v>
      </c>
      <c r="FA7" t="s">
        <v>9</v>
      </c>
      <c r="FB7" t="s">
        <v>9</v>
      </c>
      <c r="FC7" t="s">
        <v>9</v>
      </c>
      <c r="FD7" s="2">
        <v>0</v>
      </c>
      <c r="FE7" s="2">
        <v>0</v>
      </c>
      <c r="FF7" s="2">
        <v>0</v>
      </c>
      <c r="FG7" t="s">
        <v>13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13</v>
      </c>
      <c r="FO7" t="s">
        <v>13</v>
      </c>
      <c r="FP7" t="s">
        <v>9</v>
      </c>
      <c r="FQ7" t="s">
        <v>9</v>
      </c>
      <c r="FR7" s="2">
        <v>0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s="3"/>
      <c r="FY7" s="3"/>
      <c r="FZ7" s="5">
        <v>0</v>
      </c>
      <c r="GA7" s="5">
        <v>0</v>
      </c>
      <c r="GB7" s="2">
        <v>0</v>
      </c>
      <c r="GC7" s="2">
        <v>0</v>
      </c>
      <c r="GD7" t="s">
        <v>47</v>
      </c>
      <c r="GE7" t="s">
        <v>18</v>
      </c>
      <c r="GF7" t="s">
        <v>9</v>
      </c>
      <c r="GG7" t="s">
        <v>9</v>
      </c>
      <c r="GH7" t="s">
        <v>13</v>
      </c>
      <c r="GI7" t="s">
        <v>9</v>
      </c>
      <c r="GJ7" t="s">
        <v>9</v>
      </c>
      <c r="GK7" s="2">
        <v>0</v>
      </c>
      <c r="GL7" s="2">
        <v>0</v>
      </c>
      <c r="GM7" t="s">
        <v>9</v>
      </c>
      <c r="GN7" t="s">
        <v>9</v>
      </c>
      <c r="GO7" t="s">
        <v>9</v>
      </c>
      <c r="GP7" s="3"/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13</v>
      </c>
      <c r="GZ7" t="s">
        <v>13</v>
      </c>
      <c r="HA7" t="s">
        <v>13</v>
      </c>
      <c r="HB7" t="s">
        <v>13</v>
      </c>
      <c r="HC7" s="3"/>
      <c r="HD7" t="s">
        <v>9</v>
      </c>
      <c r="HE7" t="s">
        <v>9</v>
      </c>
      <c r="HF7" t="s">
        <v>9</v>
      </c>
      <c r="HG7" t="s">
        <v>13</v>
      </c>
      <c r="HH7" t="s">
        <v>9</v>
      </c>
      <c r="HI7" s="2">
        <v>0</v>
      </c>
      <c r="HJ7" s="2">
        <v>0</v>
      </c>
      <c r="HK7" t="s">
        <v>9</v>
      </c>
      <c r="HL7" t="s">
        <v>13</v>
      </c>
      <c r="HM7" t="s">
        <v>13</v>
      </c>
      <c r="HN7" t="s">
        <v>9</v>
      </c>
      <c r="HO7" s="3"/>
      <c r="HP7" s="3"/>
      <c r="HQ7" s="2">
        <v>0</v>
      </c>
      <c r="HR7" s="2">
        <v>0</v>
      </c>
      <c r="HS7" s="2">
        <v>0</v>
      </c>
      <c r="HT7" s="2">
        <v>177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t="s">
        <v>9</v>
      </c>
      <c r="IC7" t="s">
        <v>13</v>
      </c>
      <c r="ID7" t="s">
        <v>9</v>
      </c>
      <c r="IE7" t="s">
        <v>11</v>
      </c>
      <c r="IF7" t="s">
        <v>9</v>
      </c>
      <c r="IG7" t="s">
        <v>9</v>
      </c>
      <c r="IH7" t="s">
        <v>27</v>
      </c>
      <c r="II7" t="s">
        <v>27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s="3">
        <v>44428</v>
      </c>
      <c r="IT7" t="s">
        <v>9</v>
      </c>
      <c r="IU7" t="s">
        <v>9</v>
      </c>
      <c r="IV7" s="2">
        <v>0</v>
      </c>
      <c r="IW7" s="2">
        <v>0</v>
      </c>
      <c r="IX7" s="2">
        <v>0</v>
      </c>
      <c r="IY7" t="s">
        <v>9</v>
      </c>
      <c r="IZ7" t="s">
        <v>63</v>
      </c>
      <c r="JA7" t="s">
        <v>64</v>
      </c>
      <c r="JB7" t="s">
        <v>64</v>
      </c>
      <c r="JC7" t="s">
        <v>6</v>
      </c>
      <c r="JD7" s="2">
        <v>0</v>
      </c>
      <c r="JE7" s="2">
        <v>0</v>
      </c>
      <c r="JF7" t="s">
        <v>9</v>
      </c>
      <c r="JG7" t="s">
        <v>11</v>
      </c>
      <c r="JH7" s="6">
        <v>0</v>
      </c>
      <c r="JI7" t="s">
        <v>9</v>
      </c>
      <c r="JJ7" t="s">
        <v>9</v>
      </c>
      <c r="JK7" t="s">
        <v>9</v>
      </c>
      <c r="JL7" t="s">
        <v>9</v>
      </c>
      <c r="JM7" t="s">
        <v>13</v>
      </c>
      <c r="JN7" s="2">
        <v>0</v>
      </c>
      <c r="JO7" s="2">
        <v>0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s="2">
        <v>0</v>
      </c>
      <c r="KB7" t="s">
        <v>9</v>
      </c>
      <c r="KC7" t="s">
        <v>13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s="2">
        <v>0</v>
      </c>
      <c r="KN7" s="2">
        <v>0</v>
      </c>
      <c r="KO7" s="2">
        <v>0</v>
      </c>
      <c r="KP7" s="2">
        <v>0</v>
      </c>
      <c r="KQ7" t="s">
        <v>13</v>
      </c>
      <c r="KR7" s="2">
        <v>0</v>
      </c>
      <c r="KS7" t="s">
        <v>13</v>
      </c>
      <c r="KT7" s="2">
        <v>0</v>
      </c>
      <c r="KU7" s="3"/>
      <c r="KV7" t="s">
        <v>9</v>
      </c>
      <c r="KW7" t="s">
        <v>9</v>
      </c>
      <c r="KX7" t="s">
        <v>9</v>
      </c>
      <c r="KY7" s="2">
        <v>0</v>
      </c>
      <c r="KZ7" t="s">
        <v>9</v>
      </c>
      <c r="LA7" t="s">
        <v>9</v>
      </c>
      <c r="LB7" t="s">
        <v>3</v>
      </c>
      <c r="LC7" t="s">
        <v>9</v>
      </c>
      <c r="LD7" s="3">
        <v>44428</v>
      </c>
      <c r="LE7" t="s">
        <v>65</v>
      </c>
      <c r="LF7" t="s">
        <v>9</v>
      </c>
      <c r="LG7" s="2">
        <v>0</v>
      </c>
      <c r="LH7" s="2">
        <v>0</v>
      </c>
      <c r="LI7" t="s">
        <v>9</v>
      </c>
      <c r="LJ7" s="4">
        <v>0</v>
      </c>
      <c r="LK7" s="3"/>
      <c r="LL7" t="s">
        <v>13</v>
      </c>
      <c r="LM7" t="s">
        <v>9</v>
      </c>
      <c r="LN7" t="s">
        <v>9</v>
      </c>
      <c r="LO7" s="5">
        <v>0</v>
      </c>
      <c r="LP7" s="5">
        <v>0</v>
      </c>
      <c r="LQ7" s="5">
        <v>0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s="3"/>
      <c r="LY7" t="s">
        <v>9</v>
      </c>
      <c r="LZ7" t="s">
        <v>9</v>
      </c>
      <c r="MA7" t="s">
        <v>9</v>
      </c>
      <c r="MB7" t="s">
        <v>22</v>
      </c>
      <c r="MC7" s="3"/>
      <c r="MD7" t="s">
        <v>9</v>
      </c>
      <c r="ME7" t="s">
        <v>9</v>
      </c>
      <c r="MF7" t="s">
        <v>13</v>
      </c>
      <c r="MG7" t="s">
        <v>11</v>
      </c>
      <c r="MH7" t="s">
        <v>9</v>
      </c>
      <c r="MI7" t="s">
        <v>13</v>
      </c>
      <c r="MJ7" t="s">
        <v>9</v>
      </c>
      <c r="MK7" t="s">
        <v>9</v>
      </c>
      <c r="ML7" t="s">
        <v>9</v>
      </c>
      <c r="MM7" t="s">
        <v>13</v>
      </c>
      <c r="MN7" t="s">
        <v>13</v>
      </c>
      <c r="MO7" t="s">
        <v>9</v>
      </c>
      <c r="MP7" t="s">
        <v>9</v>
      </c>
      <c r="MQ7" t="s">
        <v>13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s="2">
        <v>0</v>
      </c>
      <c r="MX7" t="s">
        <v>9</v>
      </c>
      <c r="MY7" t="s">
        <v>9</v>
      </c>
      <c r="MZ7" t="s">
        <v>13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13</v>
      </c>
      <c r="NG7" s="2">
        <v>0</v>
      </c>
      <c r="NH7" s="2">
        <v>0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s="3"/>
      <c r="NO7" t="s">
        <v>9</v>
      </c>
      <c r="NP7" t="s">
        <v>9</v>
      </c>
      <c r="NQ7" t="s">
        <v>9</v>
      </c>
      <c r="NR7" s="2">
        <v>0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s="3"/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s="2">
        <v>0</v>
      </c>
      <c r="OG7" s="2">
        <v>0</v>
      </c>
      <c r="OH7" s="2">
        <v>0</v>
      </c>
      <c r="OI7" t="s">
        <v>9</v>
      </c>
      <c r="OJ7" s="3"/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s="2">
        <v>0</v>
      </c>
      <c r="OR7" s="2">
        <v>0</v>
      </c>
      <c r="OS7" t="s">
        <v>9</v>
      </c>
      <c r="OT7" s="2">
        <v>0</v>
      </c>
      <c r="OU7" t="s">
        <v>9</v>
      </c>
      <c r="OV7" t="s">
        <v>9</v>
      </c>
      <c r="OW7" t="s">
        <v>9</v>
      </c>
    </row>
    <row r="8" spans="1:413" x14ac:dyDescent="0.25">
      <c r="A8" t="s">
        <v>66</v>
      </c>
      <c r="B8" t="s">
        <v>67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100000</v>
      </c>
      <c r="I8" s="2">
        <v>100000</v>
      </c>
      <c r="J8" s="2">
        <v>0</v>
      </c>
      <c r="K8" s="2">
        <v>100000</v>
      </c>
      <c r="L8" t="s">
        <v>7</v>
      </c>
      <c r="M8" t="s">
        <v>8</v>
      </c>
      <c r="N8" t="s">
        <v>9</v>
      </c>
      <c r="O8" t="s">
        <v>69</v>
      </c>
      <c r="P8" t="s">
        <v>9</v>
      </c>
      <c r="Q8" t="s">
        <v>68</v>
      </c>
      <c r="R8" t="str">
        <f t="shared" si="0"/>
        <v>200301_6000011_Sunny</v>
      </c>
      <c r="S8" t="e">
        <f>VLOOKUP(R8,[1]Sheet1!$R$2:$AX$4,33,0)</f>
        <v>#N/A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s="2">
        <v>0</v>
      </c>
      <c r="Z8" t="s">
        <v>9</v>
      </c>
      <c r="AA8" t="s">
        <v>9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t="s">
        <v>9</v>
      </c>
      <c r="AQ8" t="s">
        <v>9</v>
      </c>
      <c r="AR8" t="s">
        <v>9</v>
      </c>
      <c r="AS8" s="3"/>
      <c r="AT8" s="3"/>
      <c r="AU8" t="s">
        <v>9</v>
      </c>
      <c r="AV8" t="s">
        <v>11</v>
      </c>
      <c r="AW8" t="s">
        <v>9</v>
      </c>
      <c r="AX8" s="3">
        <v>44896</v>
      </c>
      <c r="AY8" t="s">
        <v>9</v>
      </c>
      <c r="AZ8" t="s">
        <v>9</v>
      </c>
      <c r="BA8" t="s">
        <v>9</v>
      </c>
      <c r="BB8" s="3"/>
      <c r="BC8" s="3"/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s="3">
        <v>44896</v>
      </c>
      <c r="BS8" s="3">
        <v>44896</v>
      </c>
      <c r="BT8" t="s">
        <v>9</v>
      </c>
      <c r="BU8" s="2">
        <v>0</v>
      </c>
      <c r="BV8" t="s">
        <v>9</v>
      </c>
      <c r="BW8" s="2">
        <v>0</v>
      </c>
      <c r="BX8" s="2">
        <v>0</v>
      </c>
      <c r="BY8" s="2">
        <v>0</v>
      </c>
      <c r="BZ8" s="2">
        <v>100000</v>
      </c>
      <c r="CA8" t="s">
        <v>9</v>
      </c>
      <c r="CB8" t="s">
        <v>9</v>
      </c>
      <c r="CC8" s="3"/>
      <c r="CD8" t="s">
        <v>9</v>
      </c>
      <c r="CE8" s="3"/>
      <c r="CF8" t="s">
        <v>9</v>
      </c>
      <c r="CG8" s="4">
        <v>0</v>
      </c>
      <c r="CH8" t="s">
        <v>9</v>
      </c>
      <c r="CI8" t="s">
        <v>12</v>
      </c>
      <c r="CJ8" t="s">
        <v>13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66</v>
      </c>
      <c r="CR8" t="s">
        <v>9</v>
      </c>
      <c r="CS8" t="s">
        <v>9</v>
      </c>
      <c r="CT8" t="s">
        <v>13</v>
      </c>
      <c r="CU8" s="2">
        <v>0</v>
      </c>
      <c r="CV8" t="s">
        <v>9</v>
      </c>
      <c r="CW8" t="s">
        <v>7</v>
      </c>
      <c r="CX8" t="s">
        <v>9</v>
      </c>
      <c r="CY8" t="s">
        <v>9</v>
      </c>
      <c r="CZ8" t="s">
        <v>69</v>
      </c>
      <c r="DA8" s="3"/>
      <c r="DB8" t="s">
        <v>9</v>
      </c>
      <c r="DC8" s="3"/>
      <c r="DD8" s="4">
        <v>0</v>
      </c>
      <c r="DE8" s="4">
        <v>0</v>
      </c>
      <c r="DF8" s="4">
        <v>0</v>
      </c>
      <c r="DG8" s="4">
        <v>0</v>
      </c>
      <c r="DH8" t="s">
        <v>9</v>
      </c>
      <c r="DI8" t="s">
        <v>9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5">
        <v>0</v>
      </c>
      <c r="DQ8" s="5">
        <v>0</v>
      </c>
      <c r="DR8" t="s">
        <v>13</v>
      </c>
      <c r="DS8" t="s">
        <v>9</v>
      </c>
      <c r="DT8" t="s">
        <v>9</v>
      </c>
      <c r="DU8" s="3">
        <v>44896</v>
      </c>
      <c r="DV8" t="s">
        <v>13</v>
      </c>
      <c r="DW8" t="s">
        <v>13</v>
      </c>
      <c r="DX8" t="s">
        <v>9</v>
      </c>
      <c r="DY8" t="s">
        <v>16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13</v>
      </c>
      <c r="EF8" t="s">
        <v>9</v>
      </c>
      <c r="EG8" t="s">
        <v>9</v>
      </c>
      <c r="EH8" t="s">
        <v>9</v>
      </c>
      <c r="EI8" t="s">
        <v>9</v>
      </c>
      <c r="EJ8" s="5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s="2">
        <v>0</v>
      </c>
      <c r="EZ8" s="2">
        <v>0</v>
      </c>
      <c r="FA8" t="s">
        <v>9</v>
      </c>
      <c r="FB8" t="s">
        <v>9</v>
      </c>
      <c r="FC8" t="s">
        <v>9</v>
      </c>
      <c r="FD8" s="2">
        <v>0</v>
      </c>
      <c r="FE8" s="2">
        <v>0</v>
      </c>
      <c r="FF8" s="2">
        <v>0</v>
      </c>
      <c r="FG8" t="s">
        <v>13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13</v>
      </c>
      <c r="FO8" t="s">
        <v>13</v>
      </c>
      <c r="FP8" t="s">
        <v>9</v>
      </c>
      <c r="FQ8" t="s">
        <v>9</v>
      </c>
      <c r="FR8" s="2">
        <v>0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s="3"/>
      <c r="FY8" s="3"/>
      <c r="FZ8" s="5">
        <v>0</v>
      </c>
      <c r="GA8" s="5">
        <v>0</v>
      </c>
      <c r="GB8" s="2">
        <v>0</v>
      </c>
      <c r="GC8" s="2">
        <v>0</v>
      </c>
      <c r="GD8" t="s">
        <v>68</v>
      </c>
      <c r="GE8" t="s">
        <v>18</v>
      </c>
      <c r="GF8" t="s">
        <v>9</v>
      </c>
      <c r="GG8" t="s">
        <v>9</v>
      </c>
      <c r="GH8" t="s">
        <v>13</v>
      </c>
      <c r="GI8" t="s">
        <v>9</v>
      </c>
      <c r="GJ8" t="s">
        <v>9</v>
      </c>
      <c r="GK8" s="2">
        <v>0</v>
      </c>
      <c r="GL8" s="2">
        <v>0</v>
      </c>
      <c r="GM8" t="s">
        <v>9</v>
      </c>
      <c r="GN8" t="s">
        <v>9</v>
      </c>
      <c r="GO8" t="s">
        <v>9</v>
      </c>
      <c r="GP8" s="3"/>
      <c r="GQ8" t="s">
        <v>9</v>
      </c>
      <c r="GR8" t="s">
        <v>9</v>
      </c>
      <c r="GS8" t="s">
        <v>9</v>
      </c>
      <c r="GT8" t="s">
        <v>9</v>
      </c>
      <c r="GU8" t="s">
        <v>11</v>
      </c>
      <c r="GV8" t="s">
        <v>9</v>
      </c>
      <c r="GW8" t="s">
        <v>9</v>
      </c>
      <c r="GX8" t="s">
        <v>9</v>
      </c>
      <c r="GY8" t="s">
        <v>13</v>
      </c>
      <c r="GZ8" t="s">
        <v>13</v>
      </c>
      <c r="HA8" t="s">
        <v>13</v>
      </c>
      <c r="HB8" t="s">
        <v>13</v>
      </c>
      <c r="HC8" s="3"/>
      <c r="HD8" t="s">
        <v>9</v>
      </c>
      <c r="HE8" t="s">
        <v>9</v>
      </c>
      <c r="HF8" t="s">
        <v>9</v>
      </c>
      <c r="HG8" t="s">
        <v>13</v>
      </c>
      <c r="HH8" t="s">
        <v>9</v>
      </c>
      <c r="HI8" s="2">
        <v>0</v>
      </c>
      <c r="HJ8" s="2">
        <v>0</v>
      </c>
      <c r="HK8" t="s">
        <v>9</v>
      </c>
      <c r="HL8" t="s">
        <v>13</v>
      </c>
      <c r="HM8" t="s">
        <v>13</v>
      </c>
      <c r="HN8" t="s">
        <v>9</v>
      </c>
      <c r="HO8" s="3"/>
      <c r="HP8" s="3"/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t="s">
        <v>9</v>
      </c>
      <c r="IC8" t="s">
        <v>13</v>
      </c>
      <c r="ID8" t="s">
        <v>9</v>
      </c>
      <c r="IE8" t="s">
        <v>11</v>
      </c>
      <c r="IF8" t="s">
        <v>9</v>
      </c>
      <c r="IG8" t="s">
        <v>9</v>
      </c>
      <c r="IH8" t="s">
        <v>7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s="3">
        <v>44896</v>
      </c>
      <c r="IT8" t="s">
        <v>9</v>
      </c>
      <c r="IU8" t="s">
        <v>9</v>
      </c>
      <c r="IV8" s="2">
        <v>0</v>
      </c>
      <c r="IW8" s="2">
        <v>0</v>
      </c>
      <c r="IX8" s="2">
        <v>0</v>
      </c>
      <c r="IY8" t="s">
        <v>9</v>
      </c>
      <c r="IZ8" t="s">
        <v>70</v>
      </c>
      <c r="JA8" t="s">
        <v>71</v>
      </c>
      <c r="JB8" t="s">
        <v>71</v>
      </c>
      <c r="JC8" t="s">
        <v>6</v>
      </c>
      <c r="JD8" s="2">
        <v>0</v>
      </c>
      <c r="JE8" s="2">
        <v>0</v>
      </c>
      <c r="JF8" t="s">
        <v>9</v>
      </c>
      <c r="JG8" t="s">
        <v>11</v>
      </c>
      <c r="JH8" s="6">
        <v>0</v>
      </c>
      <c r="JI8" t="s">
        <v>9</v>
      </c>
      <c r="JJ8" t="s">
        <v>9</v>
      </c>
      <c r="JK8" t="s">
        <v>9</v>
      </c>
      <c r="JL8" t="s">
        <v>9</v>
      </c>
      <c r="JM8" t="s">
        <v>13</v>
      </c>
      <c r="JN8" s="2">
        <v>0</v>
      </c>
      <c r="JO8" s="2">
        <v>0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s="2">
        <v>0</v>
      </c>
      <c r="KB8" t="s">
        <v>9</v>
      </c>
      <c r="KC8" t="s">
        <v>13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0</v>
      </c>
      <c r="KL8" t="s">
        <v>9</v>
      </c>
      <c r="KM8" s="2">
        <v>0</v>
      </c>
      <c r="KN8" s="2">
        <v>0</v>
      </c>
      <c r="KO8" s="2">
        <v>0</v>
      </c>
      <c r="KP8" s="2">
        <v>0</v>
      </c>
      <c r="KQ8" t="s">
        <v>13</v>
      </c>
      <c r="KR8" s="2">
        <v>0</v>
      </c>
      <c r="KS8" t="s">
        <v>13</v>
      </c>
      <c r="KT8" s="2">
        <v>0</v>
      </c>
      <c r="KU8" s="3"/>
      <c r="KV8" t="s">
        <v>9</v>
      </c>
      <c r="KW8" t="s">
        <v>9</v>
      </c>
      <c r="KX8" t="s">
        <v>9</v>
      </c>
      <c r="KY8" s="2">
        <v>0</v>
      </c>
      <c r="KZ8" t="s">
        <v>9</v>
      </c>
      <c r="LA8" t="s">
        <v>9</v>
      </c>
      <c r="LB8" t="s">
        <v>3</v>
      </c>
      <c r="LC8" t="s">
        <v>9</v>
      </c>
      <c r="LD8" s="3">
        <v>44896</v>
      </c>
      <c r="LE8" t="s">
        <v>21</v>
      </c>
      <c r="LF8" t="s">
        <v>9</v>
      </c>
      <c r="LG8" s="2">
        <v>0</v>
      </c>
      <c r="LH8" s="2">
        <v>0</v>
      </c>
      <c r="LI8" t="s">
        <v>9</v>
      </c>
      <c r="LJ8" s="4">
        <v>0</v>
      </c>
      <c r="LK8" s="3"/>
      <c r="LL8" t="s">
        <v>13</v>
      </c>
      <c r="LM8" t="s">
        <v>9</v>
      </c>
      <c r="LN8" t="s">
        <v>9</v>
      </c>
      <c r="LO8" s="5">
        <v>0</v>
      </c>
      <c r="LP8" s="5">
        <v>0</v>
      </c>
      <c r="LQ8" s="5">
        <v>0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s="3"/>
      <c r="LY8" t="s">
        <v>9</v>
      </c>
      <c r="LZ8" t="s">
        <v>9</v>
      </c>
      <c r="MA8" t="s">
        <v>9</v>
      </c>
      <c r="MB8" t="s">
        <v>22</v>
      </c>
      <c r="MC8" s="3"/>
      <c r="MD8" t="s">
        <v>9</v>
      </c>
      <c r="ME8" t="s">
        <v>9</v>
      </c>
      <c r="MF8" t="s">
        <v>13</v>
      </c>
      <c r="MG8" t="s">
        <v>11</v>
      </c>
      <c r="MH8" t="s">
        <v>9</v>
      </c>
      <c r="MI8" t="s">
        <v>13</v>
      </c>
      <c r="MJ8" t="s">
        <v>9</v>
      </c>
      <c r="MK8" t="s">
        <v>9</v>
      </c>
      <c r="ML8" t="s">
        <v>9</v>
      </c>
      <c r="MM8" t="s">
        <v>13</v>
      </c>
      <c r="MN8" t="s">
        <v>13</v>
      </c>
      <c r="MO8" t="s">
        <v>9</v>
      </c>
      <c r="MP8" t="s">
        <v>9</v>
      </c>
      <c r="MQ8" t="s">
        <v>13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s="2">
        <v>0</v>
      </c>
      <c r="MX8" t="s">
        <v>9</v>
      </c>
      <c r="MY8" t="s">
        <v>9</v>
      </c>
      <c r="MZ8" t="s">
        <v>13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13</v>
      </c>
      <c r="NG8" s="2">
        <v>0</v>
      </c>
      <c r="NH8" s="2">
        <v>0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s="3"/>
      <c r="NO8" t="s">
        <v>9</v>
      </c>
      <c r="NP8" t="s">
        <v>9</v>
      </c>
      <c r="NQ8" t="s">
        <v>9</v>
      </c>
      <c r="NR8" s="2">
        <v>0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s="3"/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s="2">
        <v>0</v>
      </c>
      <c r="OG8" s="2">
        <v>0</v>
      </c>
      <c r="OH8" s="2">
        <v>0</v>
      </c>
      <c r="OI8" t="s">
        <v>9</v>
      </c>
      <c r="OJ8" s="3"/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s="2">
        <v>0</v>
      </c>
      <c r="OR8" s="2">
        <v>0</v>
      </c>
      <c r="OS8" t="s">
        <v>9</v>
      </c>
      <c r="OT8" s="2">
        <v>0</v>
      </c>
      <c r="OU8" t="s">
        <v>9</v>
      </c>
      <c r="OV8" t="s">
        <v>9</v>
      </c>
      <c r="OW8" t="s">
        <v>9</v>
      </c>
    </row>
    <row r="9" spans="1:413" x14ac:dyDescent="0.25">
      <c r="A9" t="s">
        <v>66</v>
      </c>
      <c r="B9" t="s">
        <v>72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100000</v>
      </c>
      <c r="I9" s="2">
        <v>100000</v>
      </c>
      <c r="J9" s="2">
        <v>0</v>
      </c>
      <c r="K9" s="2">
        <v>100000</v>
      </c>
      <c r="L9" t="s">
        <v>7</v>
      </c>
      <c r="M9" t="s">
        <v>8</v>
      </c>
      <c r="N9" t="s">
        <v>9</v>
      </c>
      <c r="O9" t="s">
        <v>69</v>
      </c>
      <c r="P9" t="s">
        <v>9</v>
      </c>
      <c r="Q9" t="s">
        <v>68</v>
      </c>
      <c r="R9" t="str">
        <f t="shared" si="0"/>
        <v>200301_6000011_Sunny</v>
      </c>
      <c r="S9" t="e">
        <f>VLOOKUP(R9,[1]Sheet1!$R$2:$AX$4,33,0)</f>
        <v>#N/A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s="2">
        <v>0</v>
      </c>
      <c r="Z9" t="s">
        <v>9</v>
      </c>
      <c r="AA9" t="s">
        <v>9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t="s">
        <v>9</v>
      </c>
      <c r="AQ9" t="s">
        <v>9</v>
      </c>
      <c r="AR9" t="s">
        <v>9</v>
      </c>
      <c r="AS9" s="3"/>
      <c r="AT9" s="3"/>
      <c r="AU9" t="s">
        <v>9</v>
      </c>
      <c r="AV9" t="s">
        <v>11</v>
      </c>
      <c r="AW9" t="s">
        <v>9</v>
      </c>
      <c r="AX9" s="3">
        <v>44896</v>
      </c>
      <c r="AY9" t="s">
        <v>9</v>
      </c>
      <c r="AZ9" t="s">
        <v>9</v>
      </c>
      <c r="BA9" t="s">
        <v>9</v>
      </c>
      <c r="BB9" s="3"/>
      <c r="BC9" s="3"/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s="3">
        <v>44896</v>
      </c>
      <c r="BS9" s="3">
        <v>44896</v>
      </c>
      <c r="BT9" t="s">
        <v>9</v>
      </c>
      <c r="BU9" s="2">
        <v>0</v>
      </c>
      <c r="BV9" t="s">
        <v>9</v>
      </c>
      <c r="BW9" s="2">
        <v>0</v>
      </c>
      <c r="BX9" s="2">
        <v>0</v>
      </c>
      <c r="BY9" s="2">
        <v>0</v>
      </c>
      <c r="BZ9" s="2">
        <v>100000</v>
      </c>
      <c r="CA9" t="s">
        <v>9</v>
      </c>
      <c r="CB9" t="s">
        <v>9</v>
      </c>
      <c r="CC9" s="3"/>
      <c r="CD9" t="s">
        <v>9</v>
      </c>
      <c r="CE9" s="3"/>
      <c r="CF9" t="s">
        <v>9</v>
      </c>
      <c r="CG9" s="4">
        <v>0</v>
      </c>
      <c r="CH9" t="s">
        <v>9</v>
      </c>
      <c r="CI9" t="s">
        <v>12</v>
      </c>
      <c r="CJ9" t="s">
        <v>13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66</v>
      </c>
      <c r="CR9" t="s">
        <v>9</v>
      </c>
      <c r="CS9" t="s">
        <v>9</v>
      </c>
      <c r="CT9" t="s">
        <v>13</v>
      </c>
      <c r="CU9" s="2">
        <v>0</v>
      </c>
      <c r="CV9" t="s">
        <v>9</v>
      </c>
      <c r="CW9" t="s">
        <v>7</v>
      </c>
      <c r="CX9" t="s">
        <v>9</v>
      </c>
      <c r="CY9" t="s">
        <v>9</v>
      </c>
      <c r="CZ9" t="s">
        <v>69</v>
      </c>
      <c r="DA9" s="3"/>
      <c r="DB9" t="s">
        <v>9</v>
      </c>
      <c r="DC9" s="3"/>
      <c r="DD9" s="4">
        <v>0</v>
      </c>
      <c r="DE9" s="4">
        <v>0</v>
      </c>
      <c r="DF9" s="4">
        <v>0</v>
      </c>
      <c r="DG9" s="4">
        <v>0</v>
      </c>
      <c r="DH9" t="s">
        <v>9</v>
      </c>
      <c r="DI9" t="s">
        <v>9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5">
        <v>0</v>
      </c>
      <c r="DQ9" s="5">
        <v>0</v>
      </c>
      <c r="DR9" t="s">
        <v>13</v>
      </c>
      <c r="DS9" t="s">
        <v>9</v>
      </c>
      <c r="DT9" t="s">
        <v>9</v>
      </c>
      <c r="DU9" s="3">
        <v>44896</v>
      </c>
      <c r="DV9" t="s">
        <v>13</v>
      </c>
      <c r="DW9" t="s">
        <v>13</v>
      </c>
      <c r="DX9" t="s">
        <v>9</v>
      </c>
      <c r="DY9" t="s">
        <v>16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13</v>
      </c>
      <c r="EF9" t="s">
        <v>9</v>
      </c>
      <c r="EG9" t="s">
        <v>9</v>
      </c>
      <c r="EH9" t="s">
        <v>9</v>
      </c>
      <c r="EI9" t="s">
        <v>9</v>
      </c>
      <c r="EJ9" s="5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s="2">
        <v>0</v>
      </c>
      <c r="EZ9" s="2">
        <v>0</v>
      </c>
      <c r="FA9" t="s">
        <v>9</v>
      </c>
      <c r="FB9" t="s">
        <v>9</v>
      </c>
      <c r="FC9" t="s">
        <v>9</v>
      </c>
      <c r="FD9" s="2">
        <v>0</v>
      </c>
      <c r="FE9" s="2">
        <v>0</v>
      </c>
      <c r="FF9" s="2">
        <v>0</v>
      </c>
      <c r="FG9" t="s">
        <v>13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13</v>
      </c>
      <c r="FO9" t="s">
        <v>13</v>
      </c>
      <c r="FP9" t="s">
        <v>9</v>
      </c>
      <c r="FQ9" t="s">
        <v>9</v>
      </c>
      <c r="FR9" s="2">
        <v>0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s="3"/>
      <c r="FY9" s="3"/>
      <c r="FZ9" s="5">
        <v>0</v>
      </c>
      <c r="GA9" s="5">
        <v>0</v>
      </c>
      <c r="GB9" s="2">
        <v>0</v>
      </c>
      <c r="GC9" s="2">
        <v>0</v>
      </c>
      <c r="GD9" t="s">
        <v>68</v>
      </c>
      <c r="GE9" t="s">
        <v>18</v>
      </c>
      <c r="GF9" t="s">
        <v>9</v>
      </c>
      <c r="GG9" t="s">
        <v>9</v>
      </c>
      <c r="GH9" t="s">
        <v>13</v>
      </c>
      <c r="GI9" t="s">
        <v>9</v>
      </c>
      <c r="GJ9" t="s">
        <v>9</v>
      </c>
      <c r="GK9" s="2">
        <v>0</v>
      </c>
      <c r="GL9" s="2">
        <v>0</v>
      </c>
      <c r="GM9" t="s">
        <v>9</v>
      </c>
      <c r="GN9" t="s">
        <v>9</v>
      </c>
      <c r="GO9" t="s">
        <v>9</v>
      </c>
      <c r="GP9" s="3"/>
      <c r="GQ9" t="s">
        <v>9</v>
      </c>
      <c r="GR9" t="s">
        <v>9</v>
      </c>
      <c r="GS9" t="s">
        <v>9</v>
      </c>
      <c r="GT9" t="s">
        <v>9</v>
      </c>
      <c r="GU9" t="s">
        <v>11</v>
      </c>
      <c r="GV9" t="s">
        <v>9</v>
      </c>
      <c r="GW9" t="s">
        <v>9</v>
      </c>
      <c r="GX9" t="s">
        <v>9</v>
      </c>
      <c r="GY9" t="s">
        <v>13</v>
      </c>
      <c r="GZ9" t="s">
        <v>13</v>
      </c>
      <c r="HA9" t="s">
        <v>13</v>
      </c>
      <c r="HB9" t="s">
        <v>13</v>
      </c>
      <c r="HC9" s="3"/>
      <c r="HD9" t="s">
        <v>9</v>
      </c>
      <c r="HE9" t="s">
        <v>9</v>
      </c>
      <c r="HF9" t="s">
        <v>9</v>
      </c>
      <c r="HG9" t="s">
        <v>13</v>
      </c>
      <c r="HH9" t="s">
        <v>9</v>
      </c>
      <c r="HI9" s="2">
        <v>0</v>
      </c>
      <c r="HJ9" s="2">
        <v>0</v>
      </c>
      <c r="HK9" t="s">
        <v>9</v>
      </c>
      <c r="HL9" t="s">
        <v>13</v>
      </c>
      <c r="HM9" t="s">
        <v>13</v>
      </c>
      <c r="HN9" t="s">
        <v>9</v>
      </c>
      <c r="HO9" s="3"/>
      <c r="HP9" s="3"/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t="s">
        <v>9</v>
      </c>
      <c r="IC9" t="s">
        <v>13</v>
      </c>
      <c r="ID9" t="s">
        <v>9</v>
      </c>
      <c r="IE9" t="s">
        <v>11</v>
      </c>
      <c r="IF9" t="s">
        <v>9</v>
      </c>
      <c r="IG9" t="s">
        <v>9</v>
      </c>
      <c r="IH9" t="s">
        <v>7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s="3">
        <v>44896</v>
      </c>
      <c r="IT9" t="s">
        <v>9</v>
      </c>
      <c r="IU9" t="s">
        <v>9</v>
      </c>
      <c r="IV9" s="2">
        <v>0</v>
      </c>
      <c r="IW9" s="2">
        <v>0</v>
      </c>
      <c r="IX9" s="2">
        <v>0</v>
      </c>
      <c r="IY9" t="s">
        <v>9</v>
      </c>
      <c r="IZ9" t="s">
        <v>73</v>
      </c>
      <c r="JA9" t="s">
        <v>71</v>
      </c>
      <c r="JB9" t="s">
        <v>71</v>
      </c>
      <c r="JC9" t="s">
        <v>6</v>
      </c>
      <c r="JD9" s="2">
        <v>0</v>
      </c>
      <c r="JE9" s="2">
        <v>0</v>
      </c>
      <c r="JF9" t="s">
        <v>9</v>
      </c>
      <c r="JG9" t="s">
        <v>11</v>
      </c>
      <c r="JH9" s="6">
        <v>0</v>
      </c>
      <c r="JI9" t="s">
        <v>9</v>
      </c>
      <c r="JJ9" t="s">
        <v>9</v>
      </c>
      <c r="JK9" t="s">
        <v>9</v>
      </c>
      <c r="JL9" t="s">
        <v>9</v>
      </c>
      <c r="JM9" t="s">
        <v>13</v>
      </c>
      <c r="JN9" s="2">
        <v>0</v>
      </c>
      <c r="JO9" s="2">
        <v>0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s="2">
        <v>0</v>
      </c>
      <c r="KB9" t="s">
        <v>9</v>
      </c>
      <c r="KC9" t="s">
        <v>13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0</v>
      </c>
      <c r="KL9" t="s">
        <v>9</v>
      </c>
      <c r="KM9" s="2">
        <v>0</v>
      </c>
      <c r="KN9" s="2">
        <v>0</v>
      </c>
      <c r="KO9" s="2">
        <v>0</v>
      </c>
      <c r="KP9" s="2">
        <v>0</v>
      </c>
      <c r="KQ9" t="s">
        <v>13</v>
      </c>
      <c r="KR9" s="2">
        <v>0</v>
      </c>
      <c r="KS9" t="s">
        <v>13</v>
      </c>
      <c r="KT9" s="2">
        <v>0</v>
      </c>
      <c r="KU9" s="3"/>
      <c r="KV9" t="s">
        <v>9</v>
      </c>
      <c r="KW9" t="s">
        <v>9</v>
      </c>
      <c r="KX9" t="s">
        <v>9</v>
      </c>
      <c r="KY9" s="2">
        <v>0</v>
      </c>
      <c r="KZ9" t="s">
        <v>9</v>
      </c>
      <c r="LA9" t="s">
        <v>9</v>
      </c>
      <c r="LB9" t="s">
        <v>3</v>
      </c>
      <c r="LC9" t="s">
        <v>9</v>
      </c>
      <c r="LD9" s="3">
        <v>44896</v>
      </c>
      <c r="LE9" t="s">
        <v>21</v>
      </c>
      <c r="LF9" t="s">
        <v>9</v>
      </c>
      <c r="LG9" s="2">
        <v>0</v>
      </c>
      <c r="LH9" s="2">
        <v>0</v>
      </c>
      <c r="LI9" t="s">
        <v>9</v>
      </c>
      <c r="LJ9" s="4">
        <v>0</v>
      </c>
      <c r="LK9" s="3"/>
      <c r="LL9" t="s">
        <v>13</v>
      </c>
      <c r="LM9" t="s">
        <v>9</v>
      </c>
      <c r="LN9" t="s">
        <v>9</v>
      </c>
      <c r="LO9" s="5">
        <v>0</v>
      </c>
      <c r="LP9" s="5">
        <v>0</v>
      </c>
      <c r="LQ9" s="5">
        <v>0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s="3"/>
      <c r="LY9" t="s">
        <v>9</v>
      </c>
      <c r="LZ9" t="s">
        <v>9</v>
      </c>
      <c r="MA9" t="s">
        <v>9</v>
      </c>
      <c r="MB9" t="s">
        <v>22</v>
      </c>
      <c r="MC9" s="3"/>
      <c r="MD9" t="s">
        <v>9</v>
      </c>
      <c r="ME9" t="s">
        <v>9</v>
      </c>
      <c r="MF9" t="s">
        <v>13</v>
      </c>
      <c r="MG9" t="s">
        <v>11</v>
      </c>
      <c r="MH9" t="s">
        <v>9</v>
      </c>
      <c r="MI9" t="s">
        <v>13</v>
      </c>
      <c r="MJ9" t="s">
        <v>9</v>
      </c>
      <c r="MK9" t="s">
        <v>9</v>
      </c>
      <c r="ML9" t="s">
        <v>9</v>
      </c>
      <c r="MM9" t="s">
        <v>13</v>
      </c>
      <c r="MN9" t="s">
        <v>13</v>
      </c>
      <c r="MO9" t="s">
        <v>9</v>
      </c>
      <c r="MP9" t="s">
        <v>9</v>
      </c>
      <c r="MQ9" t="s">
        <v>13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s="2">
        <v>0</v>
      </c>
      <c r="MX9" t="s">
        <v>9</v>
      </c>
      <c r="MY9" t="s">
        <v>9</v>
      </c>
      <c r="MZ9" t="s">
        <v>13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13</v>
      </c>
      <c r="NG9" s="2">
        <v>0</v>
      </c>
      <c r="NH9" s="2">
        <v>0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s="3"/>
      <c r="NO9" t="s">
        <v>9</v>
      </c>
      <c r="NP9" t="s">
        <v>9</v>
      </c>
      <c r="NQ9" t="s">
        <v>9</v>
      </c>
      <c r="NR9" s="2">
        <v>0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s="3"/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s="2">
        <v>0</v>
      </c>
      <c r="OG9" s="2">
        <v>0</v>
      </c>
      <c r="OH9" s="2">
        <v>0</v>
      </c>
      <c r="OI9" t="s">
        <v>9</v>
      </c>
      <c r="OJ9" s="3"/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s="2">
        <v>0</v>
      </c>
      <c r="OR9" s="2">
        <v>0</v>
      </c>
      <c r="OS9" t="s">
        <v>9</v>
      </c>
      <c r="OT9" s="2">
        <v>0</v>
      </c>
      <c r="OU9" t="s">
        <v>9</v>
      </c>
      <c r="OV9" t="s">
        <v>9</v>
      </c>
      <c r="OW9" t="s">
        <v>9</v>
      </c>
    </row>
    <row r="10" spans="1:413" x14ac:dyDescent="0.25">
      <c r="A10" t="s">
        <v>74</v>
      </c>
      <c r="B10" t="s">
        <v>24</v>
      </c>
      <c r="C10" t="s">
        <v>32</v>
      </c>
      <c r="D10" t="s">
        <v>3</v>
      </c>
      <c r="E10" t="s">
        <v>75</v>
      </c>
      <c r="F10" t="s">
        <v>5</v>
      </c>
      <c r="G10" t="s">
        <v>76</v>
      </c>
      <c r="H10" s="2">
        <v>5000</v>
      </c>
      <c r="I10" s="2">
        <v>5000</v>
      </c>
      <c r="J10" s="2">
        <v>0</v>
      </c>
      <c r="K10" s="2">
        <v>5000</v>
      </c>
      <c r="L10" t="s">
        <v>7</v>
      </c>
      <c r="M10" t="s">
        <v>8</v>
      </c>
      <c r="N10" t="s">
        <v>9</v>
      </c>
      <c r="O10" t="s">
        <v>78</v>
      </c>
      <c r="P10" t="s">
        <v>9</v>
      </c>
      <c r="Q10" t="s">
        <v>77</v>
      </c>
      <c r="R10" t="str">
        <f t="shared" si="0"/>
        <v>13150000_7014_Sunny</v>
      </c>
      <c r="S10" t="e">
        <f>VLOOKUP(R10,[1]Sheet1!$R$2:$AX$4,33,0)</f>
        <v>#N/A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s="2">
        <v>0</v>
      </c>
      <c r="Z10" t="s">
        <v>9</v>
      </c>
      <c r="AA10" t="s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t="s">
        <v>9</v>
      </c>
      <c r="AQ10" t="s">
        <v>9</v>
      </c>
      <c r="AR10" t="s">
        <v>9</v>
      </c>
      <c r="AS10" s="3"/>
      <c r="AT10" s="3"/>
      <c r="AU10" t="s">
        <v>9</v>
      </c>
      <c r="AV10" t="s">
        <v>11</v>
      </c>
      <c r="AW10" t="s">
        <v>9</v>
      </c>
      <c r="AX10" s="3">
        <v>44365</v>
      </c>
      <c r="AY10" t="s">
        <v>9</v>
      </c>
      <c r="AZ10" t="s">
        <v>9</v>
      </c>
      <c r="BA10" t="s">
        <v>9</v>
      </c>
      <c r="BB10" s="3"/>
      <c r="BC10" s="3"/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s="3">
        <v>44365</v>
      </c>
      <c r="BS10" s="3">
        <v>44365</v>
      </c>
      <c r="BT10" t="s">
        <v>9</v>
      </c>
      <c r="BU10" s="2">
        <v>0</v>
      </c>
      <c r="BV10" t="s">
        <v>9</v>
      </c>
      <c r="BW10" s="2">
        <v>0</v>
      </c>
      <c r="BX10" s="2">
        <v>0</v>
      </c>
      <c r="BY10" s="2">
        <v>0</v>
      </c>
      <c r="BZ10" s="2">
        <v>0</v>
      </c>
      <c r="CA10" t="s">
        <v>9</v>
      </c>
      <c r="CB10" t="s">
        <v>9</v>
      </c>
      <c r="CC10" s="3">
        <v>44365</v>
      </c>
      <c r="CD10" t="s">
        <v>24</v>
      </c>
      <c r="CE10" s="3">
        <v>44365</v>
      </c>
      <c r="CF10" t="s">
        <v>32</v>
      </c>
      <c r="CG10" s="4">
        <v>1</v>
      </c>
      <c r="CH10" t="s">
        <v>9</v>
      </c>
      <c r="CI10" t="s">
        <v>12</v>
      </c>
      <c r="CJ10" t="s">
        <v>13</v>
      </c>
      <c r="CK10" t="s">
        <v>9</v>
      </c>
      <c r="CL10" t="s">
        <v>9</v>
      </c>
      <c r="CM10" t="s">
        <v>9</v>
      </c>
      <c r="CN10" t="s">
        <v>9</v>
      </c>
      <c r="CO10" t="s">
        <v>9</v>
      </c>
      <c r="CP10" t="s">
        <v>9</v>
      </c>
      <c r="CQ10" t="s">
        <v>74</v>
      </c>
      <c r="CR10" t="s">
        <v>9</v>
      </c>
      <c r="CS10" t="s">
        <v>9</v>
      </c>
      <c r="CT10" t="s">
        <v>13</v>
      </c>
      <c r="CU10" s="2">
        <v>5000</v>
      </c>
      <c r="CV10" t="s">
        <v>0</v>
      </c>
      <c r="CW10" t="s">
        <v>7</v>
      </c>
      <c r="CX10" t="s">
        <v>9</v>
      </c>
      <c r="CY10" t="s">
        <v>9</v>
      </c>
      <c r="CZ10" t="s">
        <v>78</v>
      </c>
      <c r="DA10" s="3"/>
      <c r="DB10" t="s">
        <v>9</v>
      </c>
      <c r="DC10" s="3"/>
      <c r="DD10" s="4">
        <v>0</v>
      </c>
      <c r="DE10" s="4">
        <v>0</v>
      </c>
      <c r="DF10" s="4">
        <v>0</v>
      </c>
      <c r="DG10" s="4">
        <v>0</v>
      </c>
      <c r="DH10" t="s">
        <v>9</v>
      </c>
      <c r="DI10" t="s">
        <v>9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5">
        <v>0</v>
      </c>
      <c r="DQ10" s="5">
        <v>0</v>
      </c>
      <c r="DR10" t="s">
        <v>13</v>
      </c>
      <c r="DS10" t="s">
        <v>9</v>
      </c>
      <c r="DT10" t="s">
        <v>9</v>
      </c>
      <c r="DU10" s="3">
        <v>44365</v>
      </c>
      <c r="DV10" t="s">
        <v>13</v>
      </c>
      <c r="DW10" t="s">
        <v>13</v>
      </c>
      <c r="DX10" t="s">
        <v>9</v>
      </c>
      <c r="DY10" t="s">
        <v>16</v>
      </c>
      <c r="DZ10" t="s">
        <v>9</v>
      </c>
      <c r="EA10" t="s">
        <v>9</v>
      </c>
      <c r="EB10" t="s">
        <v>9</v>
      </c>
      <c r="EC10" t="s">
        <v>9</v>
      </c>
      <c r="ED10" t="s">
        <v>9</v>
      </c>
      <c r="EE10" t="s">
        <v>13</v>
      </c>
      <c r="EF10" t="s">
        <v>9</v>
      </c>
      <c r="EG10" t="s">
        <v>9</v>
      </c>
      <c r="EH10" t="s">
        <v>9</v>
      </c>
      <c r="EI10" t="s">
        <v>9</v>
      </c>
      <c r="EJ10" s="5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t="s">
        <v>9</v>
      </c>
      <c r="ES10" t="s">
        <v>9</v>
      </c>
      <c r="ET10" t="s">
        <v>9</v>
      </c>
      <c r="EU10" t="s">
        <v>9</v>
      </c>
      <c r="EV10" t="s">
        <v>9</v>
      </c>
      <c r="EW10" t="s">
        <v>9</v>
      </c>
      <c r="EX10" t="s">
        <v>9</v>
      </c>
      <c r="EY10" s="2">
        <v>0</v>
      </c>
      <c r="EZ10" s="2">
        <v>0</v>
      </c>
      <c r="FA10" t="s">
        <v>9</v>
      </c>
      <c r="FB10" t="s">
        <v>9</v>
      </c>
      <c r="FC10" t="s">
        <v>9</v>
      </c>
      <c r="FD10" s="2">
        <v>0</v>
      </c>
      <c r="FE10" s="2">
        <v>0</v>
      </c>
      <c r="FF10" s="2">
        <v>0</v>
      </c>
      <c r="FG10" t="s">
        <v>13</v>
      </c>
      <c r="FH10" t="s">
        <v>9</v>
      </c>
      <c r="FI10" t="s">
        <v>9</v>
      </c>
      <c r="FJ10" t="s">
        <v>9</v>
      </c>
      <c r="FK10" t="s">
        <v>9</v>
      </c>
      <c r="FL10" t="s">
        <v>9</v>
      </c>
      <c r="FM10" t="s">
        <v>9</v>
      </c>
      <c r="FN10" t="s">
        <v>13</v>
      </c>
      <c r="FO10" t="s">
        <v>13</v>
      </c>
      <c r="FP10" t="s">
        <v>9</v>
      </c>
      <c r="FQ10" t="s">
        <v>9</v>
      </c>
      <c r="FR10" s="2">
        <v>0</v>
      </c>
      <c r="FS10" t="s">
        <v>9</v>
      </c>
      <c r="FT10" t="s">
        <v>9</v>
      </c>
      <c r="FU10" t="s">
        <v>9</v>
      </c>
      <c r="FV10" t="s">
        <v>9</v>
      </c>
      <c r="FW10" t="s">
        <v>9</v>
      </c>
      <c r="FX10" s="3"/>
      <c r="FY10" s="3"/>
      <c r="FZ10" s="5">
        <v>0</v>
      </c>
      <c r="GA10" s="5">
        <v>0</v>
      </c>
      <c r="GB10" s="2">
        <v>0</v>
      </c>
      <c r="GC10" s="2">
        <v>0</v>
      </c>
      <c r="GD10" t="s">
        <v>77</v>
      </c>
      <c r="GE10" t="s">
        <v>18</v>
      </c>
      <c r="GF10" t="s">
        <v>9</v>
      </c>
      <c r="GG10" t="s">
        <v>9</v>
      </c>
      <c r="GH10" t="s">
        <v>13</v>
      </c>
      <c r="GI10" t="s">
        <v>9</v>
      </c>
      <c r="GJ10" t="s">
        <v>9</v>
      </c>
      <c r="GK10" s="2">
        <v>0</v>
      </c>
      <c r="GL10" s="2">
        <v>0</v>
      </c>
      <c r="GM10" t="s">
        <v>9</v>
      </c>
      <c r="GN10" t="s">
        <v>9</v>
      </c>
      <c r="GO10" t="s">
        <v>9</v>
      </c>
      <c r="GP10" s="3"/>
      <c r="GQ10" t="s">
        <v>9</v>
      </c>
      <c r="GR10" t="s">
        <v>9</v>
      </c>
      <c r="GS10" t="s">
        <v>9</v>
      </c>
      <c r="GT10" t="s">
        <v>9</v>
      </c>
      <c r="GU10" t="s">
        <v>11</v>
      </c>
      <c r="GV10" t="s">
        <v>9</v>
      </c>
      <c r="GW10" t="s">
        <v>9</v>
      </c>
      <c r="GX10" t="s">
        <v>9</v>
      </c>
      <c r="GY10" t="s">
        <v>13</v>
      </c>
      <c r="GZ10" t="s">
        <v>13</v>
      </c>
      <c r="HA10" t="s">
        <v>13</v>
      </c>
      <c r="HB10" t="s">
        <v>13</v>
      </c>
      <c r="HC10" s="3"/>
      <c r="HD10" t="s">
        <v>9</v>
      </c>
      <c r="HE10" t="s">
        <v>9</v>
      </c>
      <c r="HF10" t="s">
        <v>9</v>
      </c>
      <c r="HG10" t="s">
        <v>13</v>
      </c>
      <c r="HH10" t="s">
        <v>9</v>
      </c>
      <c r="HI10" s="2">
        <v>0</v>
      </c>
      <c r="HJ10" s="2">
        <v>0</v>
      </c>
      <c r="HK10" t="s">
        <v>9</v>
      </c>
      <c r="HL10" t="s">
        <v>13</v>
      </c>
      <c r="HM10" t="s">
        <v>13</v>
      </c>
      <c r="HN10" t="s">
        <v>9</v>
      </c>
      <c r="HO10" s="3"/>
      <c r="HP10" s="3"/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t="s">
        <v>9</v>
      </c>
      <c r="IC10" t="s">
        <v>13</v>
      </c>
      <c r="ID10" t="s">
        <v>9</v>
      </c>
      <c r="IE10" t="s">
        <v>11</v>
      </c>
      <c r="IF10" t="s">
        <v>9</v>
      </c>
      <c r="IG10" t="s">
        <v>9</v>
      </c>
      <c r="IH10" t="s">
        <v>7</v>
      </c>
      <c r="II10" t="s">
        <v>9</v>
      </c>
      <c r="IJ10" t="s">
        <v>9</v>
      </c>
      <c r="IK10" t="s">
        <v>9</v>
      </c>
      <c r="IL10" t="s">
        <v>9</v>
      </c>
      <c r="IM10" t="s">
        <v>9</v>
      </c>
      <c r="IN10" t="s">
        <v>9</v>
      </c>
      <c r="IO10" t="s">
        <v>9</v>
      </c>
      <c r="IP10" t="s">
        <v>9</v>
      </c>
      <c r="IQ10" t="s">
        <v>9</v>
      </c>
      <c r="IR10" t="s">
        <v>9</v>
      </c>
      <c r="IS10" s="3">
        <v>44365</v>
      </c>
      <c r="IT10" t="s">
        <v>9</v>
      </c>
      <c r="IU10" t="s">
        <v>9</v>
      </c>
      <c r="IV10" s="2">
        <v>0</v>
      </c>
      <c r="IW10" s="2">
        <v>0</v>
      </c>
      <c r="IX10" s="2">
        <v>0</v>
      </c>
      <c r="IY10" t="s">
        <v>9</v>
      </c>
      <c r="IZ10" t="s">
        <v>79</v>
      </c>
      <c r="JA10" t="s">
        <v>80</v>
      </c>
      <c r="JB10" t="s">
        <v>80</v>
      </c>
      <c r="JC10" t="s">
        <v>6</v>
      </c>
      <c r="JD10" s="2">
        <v>0</v>
      </c>
      <c r="JE10" s="2">
        <v>0</v>
      </c>
      <c r="JF10" t="s">
        <v>9</v>
      </c>
      <c r="JG10" t="s">
        <v>11</v>
      </c>
      <c r="JH10" s="6">
        <v>0</v>
      </c>
      <c r="JI10" t="s">
        <v>9</v>
      </c>
      <c r="JJ10" t="s">
        <v>9</v>
      </c>
      <c r="JK10" t="s">
        <v>9</v>
      </c>
      <c r="JL10" t="s">
        <v>9</v>
      </c>
      <c r="JM10" t="s">
        <v>13</v>
      </c>
      <c r="JN10" s="2">
        <v>0</v>
      </c>
      <c r="JO10" s="2">
        <v>0</v>
      </c>
      <c r="JP10" t="s">
        <v>9</v>
      </c>
      <c r="JQ10" t="s">
        <v>9</v>
      </c>
      <c r="JR10" t="s">
        <v>9</v>
      </c>
      <c r="JS10" t="s">
        <v>9</v>
      </c>
      <c r="JT10" t="s">
        <v>9</v>
      </c>
      <c r="JU10" t="s">
        <v>9</v>
      </c>
      <c r="JV10" t="s">
        <v>9</v>
      </c>
      <c r="JW10" t="s">
        <v>9</v>
      </c>
      <c r="JX10" t="s">
        <v>9</v>
      </c>
      <c r="JY10" t="s">
        <v>9</v>
      </c>
      <c r="JZ10" t="s">
        <v>9</v>
      </c>
      <c r="KA10" s="2">
        <v>0</v>
      </c>
      <c r="KB10" t="s">
        <v>9</v>
      </c>
      <c r="KC10" t="s">
        <v>13</v>
      </c>
      <c r="KD10" t="s">
        <v>9</v>
      </c>
      <c r="KE10" t="s">
        <v>9</v>
      </c>
      <c r="KF10" t="s">
        <v>9</v>
      </c>
      <c r="KG10" t="s">
        <v>9</v>
      </c>
      <c r="KH10" t="s">
        <v>9</v>
      </c>
      <c r="KI10" t="s">
        <v>9</v>
      </c>
      <c r="KJ10" t="s">
        <v>9</v>
      </c>
      <c r="KK10" t="s">
        <v>9</v>
      </c>
      <c r="KL10" t="s">
        <v>9</v>
      </c>
      <c r="KM10" s="2">
        <v>0</v>
      </c>
      <c r="KN10" s="2">
        <v>0</v>
      </c>
      <c r="KO10" s="2">
        <v>0</v>
      </c>
      <c r="KP10" s="2">
        <v>0</v>
      </c>
      <c r="KQ10" t="s">
        <v>13</v>
      </c>
      <c r="KR10" s="2">
        <v>0</v>
      </c>
      <c r="KS10" t="s">
        <v>13</v>
      </c>
      <c r="KT10" s="2">
        <v>0</v>
      </c>
      <c r="KU10" s="3"/>
      <c r="KV10" t="s">
        <v>9</v>
      </c>
      <c r="KW10" t="s">
        <v>9</v>
      </c>
      <c r="KX10" t="s">
        <v>9</v>
      </c>
      <c r="KY10" s="2">
        <v>0</v>
      </c>
      <c r="KZ10" t="s">
        <v>9</v>
      </c>
      <c r="LA10" t="s">
        <v>9</v>
      </c>
      <c r="LB10" t="s">
        <v>3</v>
      </c>
      <c r="LC10" t="s">
        <v>9</v>
      </c>
      <c r="LD10" s="3">
        <v>44365</v>
      </c>
      <c r="LE10" t="s">
        <v>17</v>
      </c>
      <c r="LF10" t="s">
        <v>9</v>
      </c>
      <c r="LG10" s="2">
        <v>0</v>
      </c>
      <c r="LH10" s="2">
        <v>0</v>
      </c>
      <c r="LI10" t="s">
        <v>9</v>
      </c>
      <c r="LJ10" s="4">
        <v>0</v>
      </c>
      <c r="LK10" s="3"/>
      <c r="LL10" t="s">
        <v>13</v>
      </c>
      <c r="LM10" t="s">
        <v>9</v>
      </c>
      <c r="LN10" t="s">
        <v>9</v>
      </c>
      <c r="LO10" s="5">
        <v>0</v>
      </c>
      <c r="LP10" s="5">
        <v>0</v>
      </c>
      <c r="LQ10" s="5">
        <v>0</v>
      </c>
      <c r="LR10" t="s">
        <v>9</v>
      </c>
      <c r="LS10" t="s">
        <v>9</v>
      </c>
      <c r="LT10" t="s">
        <v>9</v>
      </c>
      <c r="LU10" t="s">
        <v>9</v>
      </c>
      <c r="LV10" t="s">
        <v>9</v>
      </c>
      <c r="LW10" t="s">
        <v>9</v>
      </c>
      <c r="LX10" s="3"/>
      <c r="LY10" t="s">
        <v>9</v>
      </c>
      <c r="LZ10" t="s">
        <v>9</v>
      </c>
      <c r="MA10" t="s">
        <v>9</v>
      </c>
      <c r="MB10" t="s">
        <v>22</v>
      </c>
      <c r="MC10" s="3"/>
      <c r="MD10" t="s">
        <v>9</v>
      </c>
      <c r="ME10" t="s">
        <v>9</v>
      </c>
      <c r="MF10" t="s">
        <v>13</v>
      </c>
      <c r="MG10" t="s">
        <v>11</v>
      </c>
      <c r="MH10" t="s">
        <v>9</v>
      </c>
      <c r="MI10" t="s">
        <v>13</v>
      </c>
      <c r="MJ10" t="s">
        <v>9</v>
      </c>
      <c r="MK10" t="s">
        <v>9</v>
      </c>
      <c r="ML10" t="s">
        <v>9</v>
      </c>
      <c r="MM10" t="s">
        <v>13</v>
      </c>
      <c r="MN10" t="s">
        <v>13</v>
      </c>
      <c r="MO10" t="s">
        <v>9</v>
      </c>
      <c r="MP10" t="s">
        <v>9</v>
      </c>
      <c r="MQ10" t="s">
        <v>13</v>
      </c>
      <c r="MR10" t="s">
        <v>81</v>
      </c>
      <c r="MS10" t="s">
        <v>9</v>
      </c>
      <c r="MT10" t="s">
        <v>9</v>
      </c>
      <c r="MU10" t="s">
        <v>9</v>
      </c>
      <c r="MV10" t="s">
        <v>9</v>
      </c>
      <c r="MW10" s="2">
        <v>0</v>
      </c>
      <c r="MX10" t="s">
        <v>9</v>
      </c>
      <c r="MY10" t="s">
        <v>9</v>
      </c>
      <c r="MZ10" t="s">
        <v>13</v>
      </c>
      <c r="NA10" t="s">
        <v>9</v>
      </c>
      <c r="NB10" t="s">
        <v>9</v>
      </c>
      <c r="NC10" t="s">
        <v>9</v>
      </c>
      <c r="ND10" t="s">
        <v>9</v>
      </c>
      <c r="NE10" t="s">
        <v>9</v>
      </c>
      <c r="NF10" t="s">
        <v>13</v>
      </c>
      <c r="NG10" s="2">
        <v>0</v>
      </c>
      <c r="NH10" s="2">
        <v>0</v>
      </c>
      <c r="NI10" t="s">
        <v>9</v>
      </c>
      <c r="NJ10" t="s">
        <v>9</v>
      </c>
      <c r="NK10" t="s">
        <v>9</v>
      </c>
      <c r="NL10" t="s">
        <v>9</v>
      </c>
      <c r="NM10" t="s">
        <v>9</v>
      </c>
      <c r="NN10" s="3"/>
      <c r="NO10" t="s">
        <v>9</v>
      </c>
      <c r="NP10" t="s">
        <v>9</v>
      </c>
      <c r="NQ10" t="s">
        <v>9</v>
      </c>
      <c r="NR10" s="2">
        <v>0</v>
      </c>
      <c r="NS10" t="s">
        <v>9</v>
      </c>
      <c r="NT10" t="s">
        <v>9</v>
      </c>
      <c r="NU10" t="s">
        <v>9</v>
      </c>
      <c r="NV10" t="s">
        <v>9</v>
      </c>
      <c r="NW10" t="s">
        <v>9</v>
      </c>
      <c r="NX10" s="3"/>
      <c r="NY10" t="s">
        <v>9</v>
      </c>
      <c r="NZ10" t="s">
        <v>9</v>
      </c>
      <c r="OA10" t="s">
        <v>9</v>
      </c>
      <c r="OB10" t="s">
        <v>9</v>
      </c>
      <c r="OC10" t="s">
        <v>9</v>
      </c>
      <c r="OD10" t="s">
        <v>9</v>
      </c>
      <c r="OE10" t="s">
        <v>9</v>
      </c>
      <c r="OF10" s="2">
        <v>0</v>
      </c>
      <c r="OG10" s="2">
        <v>0</v>
      </c>
      <c r="OH10" s="2">
        <v>0</v>
      </c>
      <c r="OI10" t="s">
        <v>9</v>
      </c>
      <c r="OJ10" s="3"/>
      <c r="OK10" t="s">
        <v>9</v>
      </c>
      <c r="OL10" t="s">
        <v>9</v>
      </c>
      <c r="OM10" t="s">
        <v>9</v>
      </c>
      <c r="ON10" t="s">
        <v>9</v>
      </c>
      <c r="OO10" t="s">
        <v>9</v>
      </c>
      <c r="OP10" t="s">
        <v>9</v>
      </c>
      <c r="OQ10" s="2">
        <v>0</v>
      </c>
      <c r="OR10" s="2">
        <v>0</v>
      </c>
      <c r="OS10" t="s">
        <v>9</v>
      </c>
      <c r="OT10" s="2">
        <v>0</v>
      </c>
      <c r="OU10" t="s">
        <v>9</v>
      </c>
      <c r="OV10" t="s">
        <v>9</v>
      </c>
      <c r="OW10" t="s">
        <v>9</v>
      </c>
    </row>
    <row r="11" spans="1:413" x14ac:dyDescent="0.25">
      <c r="A11" t="s">
        <v>82</v>
      </c>
      <c r="B11" t="s">
        <v>24</v>
      </c>
      <c r="C11" t="s">
        <v>32</v>
      </c>
      <c r="D11" t="s">
        <v>3</v>
      </c>
      <c r="E11" t="s">
        <v>4</v>
      </c>
      <c r="F11" t="s">
        <v>5</v>
      </c>
      <c r="G11" t="s">
        <v>6</v>
      </c>
      <c r="H11" s="2">
        <v>1000</v>
      </c>
      <c r="I11" s="2">
        <v>1000</v>
      </c>
      <c r="J11" s="2">
        <v>0</v>
      </c>
      <c r="K11" s="2">
        <v>1000</v>
      </c>
      <c r="L11" t="s">
        <v>7</v>
      </c>
      <c r="M11" t="s">
        <v>9</v>
      </c>
      <c r="N11" t="s">
        <v>9</v>
      </c>
      <c r="O11" t="s">
        <v>85</v>
      </c>
      <c r="P11" t="s">
        <v>9</v>
      </c>
      <c r="Q11" t="s">
        <v>83</v>
      </c>
      <c r="R11" t="str">
        <f t="shared" si="0"/>
        <v>200008_1100000039_Sunny</v>
      </c>
      <c r="S11" t="e">
        <f>VLOOKUP(R11,[1]Sheet1!$R$2:$AX$4,33,0)</f>
        <v>#N/A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s="2">
        <v>0</v>
      </c>
      <c r="Z11" t="s">
        <v>9</v>
      </c>
      <c r="AA11" t="s">
        <v>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t="s">
        <v>9</v>
      </c>
      <c r="AQ11" t="s">
        <v>9</v>
      </c>
      <c r="AR11" t="s">
        <v>9</v>
      </c>
      <c r="AS11" s="3"/>
      <c r="AT11" s="3"/>
      <c r="AU11" t="s">
        <v>9</v>
      </c>
      <c r="AV11" t="s">
        <v>11</v>
      </c>
      <c r="AW11" t="s">
        <v>9</v>
      </c>
      <c r="AX11" s="3">
        <v>44453</v>
      </c>
      <c r="AY11" t="s">
        <v>9</v>
      </c>
      <c r="AZ11" t="s">
        <v>9</v>
      </c>
      <c r="BA11" t="s">
        <v>9</v>
      </c>
      <c r="BB11" s="3"/>
      <c r="BC11" s="3"/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s="3">
        <v>44453</v>
      </c>
      <c r="BS11" s="3">
        <v>44453</v>
      </c>
      <c r="BT11" t="s">
        <v>9</v>
      </c>
      <c r="BU11" s="2">
        <v>0</v>
      </c>
      <c r="BV11" t="s">
        <v>9</v>
      </c>
      <c r="BW11" s="2">
        <v>0</v>
      </c>
      <c r="BX11" s="2">
        <v>0</v>
      </c>
      <c r="BY11" s="2">
        <v>0</v>
      </c>
      <c r="BZ11" s="2">
        <v>1000</v>
      </c>
      <c r="CA11" t="s">
        <v>9</v>
      </c>
      <c r="CB11" t="s">
        <v>9</v>
      </c>
      <c r="CC11" s="3"/>
      <c r="CD11" t="s">
        <v>9</v>
      </c>
      <c r="CE11" s="3"/>
      <c r="CF11" t="s">
        <v>9</v>
      </c>
      <c r="CG11" s="4">
        <v>0</v>
      </c>
      <c r="CH11" t="s">
        <v>9</v>
      </c>
      <c r="CI11" t="s">
        <v>12</v>
      </c>
      <c r="CJ11" t="s">
        <v>13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84</v>
      </c>
      <c r="CR11" t="s">
        <v>9</v>
      </c>
      <c r="CS11" t="s">
        <v>9</v>
      </c>
      <c r="CT11" t="s">
        <v>13</v>
      </c>
      <c r="CU11" s="2">
        <v>0</v>
      </c>
      <c r="CV11" t="s">
        <v>9</v>
      </c>
      <c r="CW11" t="s">
        <v>7</v>
      </c>
      <c r="CX11" t="s">
        <v>9</v>
      </c>
      <c r="CY11" t="s">
        <v>9</v>
      </c>
      <c r="CZ11" t="s">
        <v>85</v>
      </c>
      <c r="DA11" s="3"/>
      <c r="DB11" t="s">
        <v>9</v>
      </c>
      <c r="DC11" s="3"/>
      <c r="DD11" s="4">
        <v>0</v>
      </c>
      <c r="DE11" s="4">
        <v>0</v>
      </c>
      <c r="DF11" s="4">
        <v>0</v>
      </c>
      <c r="DG11" s="4">
        <v>0</v>
      </c>
      <c r="DH11" t="s">
        <v>9</v>
      </c>
      <c r="DI11" t="s">
        <v>9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5">
        <v>0</v>
      </c>
      <c r="DQ11" s="5">
        <v>0</v>
      </c>
      <c r="DR11" t="s">
        <v>13</v>
      </c>
      <c r="DS11" t="s">
        <v>9</v>
      </c>
      <c r="DT11" t="s">
        <v>9</v>
      </c>
      <c r="DU11" s="3">
        <v>44453</v>
      </c>
      <c r="DV11" t="s">
        <v>13</v>
      </c>
      <c r="DW11" t="s">
        <v>13</v>
      </c>
      <c r="DX11" t="s">
        <v>9</v>
      </c>
      <c r="DY11" t="s">
        <v>16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13</v>
      </c>
      <c r="EF11" t="s">
        <v>9</v>
      </c>
      <c r="EG11" t="s">
        <v>9</v>
      </c>
      <c r="EH11" t="s">
        <v>9</v>
      </c>
      <c r="EI11" t="s">
        <v>9</v>
      </c>
      <c r="EJ11" s="5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s="2">
        <v>0</v>
      </c>
      <c r="EZ11" s="2">
        <v>0</v>
      </c>
      <c r="FA11" t="s">
        <v>9</v>
      </c>
      <c r="FB11" t="s">
        <v>9</v>
      </c>
      <c r="FC11" t="s">
        <v>9</v>
      </c>
      <c r="FD11" s="2">
        <v>0</v>
      </c>
      <c r="FE11" s="2">
        <v>0</v>
      </c>
      <c r="FF11" s="2">
        <v>0</v>
      </c>
      <c r="FG11" t="s">
        <v>13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13</v>
      </c>
      <c r="FO11" t="s">
        <v>13</v>
      </c>
      <c r="FP11" t="s">
        <v>9</v>
      </c>
      <c r="FQ11" t="s">
        <v>9</v>
      </c>
      <c r="FR11" s="2">
        <v>0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s="3"/>
      <c r="FY11" s="3"/>
      <c r="FZ11" s="5">
        <v>0</v>
      </c>
      <c r="GA11" s="5">
        <v>0</v>
      </c>
      <c r="GB11" s="2">
        <v>0</v>
      </c>
      <c r="GC11" s="2">
        <v>0</v>
      </c>
      <c r="GD11" t="s">
        <v>83</v>
      </c>
      <c r="GE11" t="s">
        <v>18</v>
      </c>
      <c r="GF11" t="s">
        <v>9</v>
      </c>
      <c r="GG11" t="s">
        <v>9</v>
      </c>
      <c r="GH11" t="s">
        <v>13</v>
      </c>
      <c r="GI11" t="s">
        <v>9</v>
      </c>
      <c r="GJ11" t="s">
        <v>9</v>
      </c>
      <c r="GK11" s="2">
        <v>0</v>
      </c>
      <c r="GL11" s="2">
        <v>0</v>
      </c>
      <c r="GM11" t="s">
        <v>9</v>
      </c>
      <c r="GN11" t="s">
        <v>9</v>
      </c>
      <c r="GO11" t="s">
        <v>9</v>
      </c>
      <c r="GP11" s="3"/>
      <c r="GQ11" t="s">
        <v>9</v>
      </c>
      <c r="GR11" t="s">
        <v>9</v>
      </c>
      <c r="GS11" t="s">
        <v>9</v>
      </c>
      <c r="GT11" t="s">
        <v>9</v>
      </c>
      <c r="GU11" t="s">
        <v>11</v>
      </c>
      <c r="GV11" t="s">
        <v>9</v>
      </c>
      <c r="GW11" t="s">
        <v>9</v>
      </c>
      <c r="GX11" t="s">
        <v>9</v>
      </c>
      <c r="GY11" t="s">
        <v>13</v>
      </c>
      <c r="GZ11" t="s">
        <v>13</v>
      </c>
      <c r="HA11" t="s">
        <v>13</v>
      </c>
      <c r="HB11" t="s">
        <v>13</v>
      </c>
      <c r="HC11" s="3"/>
      <c r="HD11" t="s">
        <v>9</v>
      </c>
      <c r="HE11" t="s">
        <v>9</v>
      </c>
      <c r="HF11" t="s">
        <v>9</v>
      </c>
      <c r="HG11" t="s">
        <v>13</v>
      </c>
      <c r="HH11" t="s">
        <v>9</v>
      </c>
      <c r="HI11" s="2">
        <v>0</v>
      </c>
      <c r="HJ11" s="2">
        <v>0</v>
      </c>
      <c r="HK11" t="s">
        <v>9</v>
      </c>
      <c r="HL11" t="s">
        <v>13</v>
      </c>
      <c r="HM11" t="s">
        <v>13</v>
      </c>
      <c r="HN11" t="s">
        <v>9</v>
      </c>
      <c r="HO11" s="3"/>
      <c r="HP11" s="3"/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t="s">
        <v>9</v>
      </c>
      <c r="IC11" t="s">
        <v>13</v>
      </c>
      <c r="ID11" t="s">
        <v>9</v>
      </c>
      <c r="IE11" t="s">
        <v>11</v>
      </c>
      <c r="IF11" t="s">
        <v>9</v>
      </c>
      <c r="IG11" t="s">
        <v>9</v>
      </c>
      <c r="IH11" t="s">
        <v>7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s="3">
        <v>44453</v>
      </c>
      <c r="IT11" t="s">
        <v>9</v>
      </c>
      <c r="IU11" t="s">
        <v>9</v>
      </c>
      <c r="IV11" s="2">
        <v>0</v>
      </c>
      <c r="IW11" s="2">
        <v>0</v>
      </c>
      <c r="IX11" s="2">
        <v>0</v>
      </c>
      <c r="IY11" t="s">
        <v>9</v>
      </c>
      <c r="IZ11" t="s">
        <v>86</v>
      </c>
      <c r="JA11" t="s">
        <v>87</v>
      </c>
      <c r="JB11" t="s">
        <v>87</v>
      </c>
      <c r="JC11" t="s">
        <v>6</v>
      </c>
      <c r="JD11" s="2">
        <v>0</v>
      </c>
      <c r="JE11" s="2">
        <v>0</v>
      </c>
      <c r="JF11" t="s">
        <v>9</v>
      </c>
      <c r="JG11" t="s">
        <v>11</v>
      </c>
      <c r="JH11" s="6">
        <v>0</v>
      </c>
      <c r="JI11" t="s">
        <v>9</v>
      </c>
      <c r="JJ11" t="s">
        <v>9</v>
      </c>
      <c r="JK11" t="s">
        <v>9</v>
      </c>
      <c r="JL11" t="s">
        <v>9</v>
      </c>
      <c r="JM11" t="s">
        <v>13</v>
      </c>
      <c r="JN11" s="2">
        <v>0</v>
      </c>
      <c r="JO11" s="2">
        <v>0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s="2">
        <v>0</v>
      </c>
      <c r="KB11" t="s">
        <v>9</v>
      </c>
      <c r="KC11" t="s">
        <v>13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s="2">
        <v>0</v>
      </c>
      <c r="KN11" s="2">
        <v>0</v>
      </c>
      <c r="KO11" s="2">
        <v>0</v>
      </c>
      <c r="KP11" s="2">
        <v>0</v>
      </c>
      <c r="KQ11" t="s">
        <v>13</v>
      </c>
      <c r="KR11" s="2">
        <v>0</v>
      </c>
      <c r="KS11" t="s">
        <v>13</v>
      </c>
      <c r="KT11" s="2">
        <v>0</v>
      </c>
      <c r="KU11" s="3"/>
      <c r="KV11" t="s">
        <v>9</v>
      </c>
      <c r="KW11" t="s">
        <v>9</v>
      </c>
      <c r="KX11" t="s">
        <v>9</v>
      </c>
      <c r="KY11" s="2">
        <v>0</v>
      </c>
      <c r="KZ11" t="s">
        <v>9</v>
      </c>
      <c r="LA11" t="s">
        <v>9</v>
      </c>
      <c r="LB11" t="s">
        <v>3</v>
      </c>
      <c r="LC11" t="s">
        <v>9</v>
      </c>
      <c r="LD11" s="3">
        <v>44453</v>
      </c>
      <c r="LE11" t="s">
        <v>40</v>
      </c>
      <c r="LF11" t="s">
        <v>9</v>
      </c>
      <c r="LG11" s="2">
        <v>0</v>
      </c>
      <c r="LH11" s="2">
        <v>0</v>
      </c>
      <c r="LI11" t="s">
        <v>9</v>
      </c>
      <c r="LJ11" s="4">
        <v>0</v>
      </c>
      <c r="LK11" s="3"/>
      <c r="LL11" t="s">
        <v>13</v>
      </c>
      <c r="LM11" t="s">
        <v>9</v>
      </c>
      <c r="LN11" t="s">
        <v>9</v>
      </c>
      <c r="LO11" s="5">
        <v>0</v>
      </c>
      <c r="LP11" s="5">
        <v>0</v>
      </c>
      <c r="LQ11" s="5">
        <v>0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s="3"/>
      <c r="LY11" t="s">
        <v>9</v>
      </c>
      <c r="LZ11" t="s">
        <v>9</v>
      </c>
      <c r="MA11" t="s">
        <v>9</v>
      </c>
      <c r="MB11" t="s">
        <v>22</v>
      </c>
      <c r="MC11" s="3"/>
      <c r="MD11" t="s">
        <v>9</v>
      </c>
      <c r="ME11" t="s">
        <v>9</v>
      </c>
      <c r="MF11" t="s">
        <v>13</v>
      </c>
      <c r="MG11" t="s">
        <v>11</v>
      </c>
      <c r="MH11" t="s">
        <v>9</v>
      </c>
      <c r="MI11" t="s">
        <v>13</v>
      </c>
      <c r="MJ11" t="s">
        <v>9</v>
      </c>
      <c r="MK11" t="s">
        <v>9</v>
      </c>
      <c r="ML11" t="s">
        <v>9</v>
      </c>
      <c r="MM11" t="s">
        <v>13</v>
      </c>
      <c r="MN11" t="s">
        <v>13</v>
      </c>
      <c r="MO11" t="s">
        <v>9</v>
      </c>
      <c r="MP11" t="s">
        <v>9</v>
      </c>
      <c r="MQ11" t="s">
        <v>13</v>
      </c>
      <c r="MR11" t="s">
        <v>88</v>
      </c>
      <c r="MS11" t="s">
        <v>9</v>
      </c>
      <c r="MT11" t="s">
        <v>9</v>
      </c>
      <c r="MU11" t="s">
        <v>9</v>
      </c>
      <c r="MV11" t="s">
        <v>9</v>
      </c>
      <c r="MW11" s="2">
        <v>0</v>
      </c>
      <c r="MX11" t="s">
        <v>9</v>
      </c>
      <c r="MY11" t="s">
        <v>9</v>
      </c>
      <c r="MZ11" t="s">
        <v>13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13</v>
      </c>
      <c r="NG11" s="2">
        <v>0</v>
      </c>
      <c r="NH11" s="2">
        <v>0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s="3"/>
      <c r="NO11" t="s">
        <v>9</v>
      </c>
      <c r="NP11" t="s">
        <v>9</v>
      </c>
      <c r="NQ11" t="s">
        <v>9</v>
      </c>
      <c r="NR11" s="2">
        <v>0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s="3"/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s="2">
        <v>0</v>
      </c>
      <c r="OG11" s="2">
        <v>0</v>
      </c>
      <c r="OH11" s="2">
        <v>0</v>
      </c>
      <c r="OI11" t="s">
        <v>9</v>
      </c>
      <c r="OJ11" s="3"/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s="2">
        <v>0</v>
      </c>
      <c r="OR11" s="2">
        <v>0</v>
      </c>
      <c r="OS11" t="s">
        <v>9</v>
      </c>
      <c r="OT11" s="2">
        <v>0</v>
      </c>
      <c r="OU11" t="s">
        <v>9</v>
      </c>
      <c r="OV11" t="s">
        <v>9</v>
      </c>
      <c r="OW11" t="s">
        <v>9</v>
      </c>
    </row>
    <row r="12" spans="1:413" x14ac:dyDescent="0.25">
      <c r="A12" t="s">
        <v>89</v>
      </c>
      <c r="B12" t="s">
        <v>24</v>
      </c>
      <c r="C12" t="s">
        <v>32</v>
      </c>
      <c r="D12" t="s">
        <v>3</v>
      </c>
      <c r="E12" t="s">
        <v>4</v>
      </c>
      <c r="F12" t="s">
        <v>5</v>
      </c>
      <c r="G12" t="s">
        <v>6</v>
      </c>
      <c r="H12" s="2">
        <v>21000</v>
      </c>
      <c r="I12" s="2">
        <v>21000</v>
      </c>
      <c r="J12" s="2">
        <v>0</v>
      </c>
      <c r="K12" s="2">
        <v>21000</v>
      </c>
      <c r="L12" t="s">
        <v>7</v>
      </c>
      <c r="M12" t="s">
        <v>9</v>
      </c>
      <c r="N12" t="s">
        <v>9</v>
      </c>
      <c r="O12" t="s">
        <v>92</v>
      </c>
      <c r="P12" t="s">
        <v>9</v>
      </c>
      <c r="Q12" t="s">
        <v>90</v>
      </c>
      <c r="R12" t="str">
        <f t="shared" si="0"/>
        <v>2000000_230000071_Sunny</v>
      </c>
      <c r="S12" t="e">
        <f>VLOOKUP(R12,[1]Sheet1!$R$2:$AX$4,33,0)</f>
        <v>#N/A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s="2">
        <v>0</v>
      </c>
      <c r="Z12" t="s">
        <v>9</v>
      </c>
      <c r="AA12" t="s">
        <v>9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t="s">
        <v>9</v>
      </c>
      <c r="AQ12" t="s">
        <v>9</v>
      </c>
      <c r="AR12" t="s">
        <v>9</v>
      </c>
      <c r="AS12" s="3"/>
      <c r="AT12" s="3"/>
      <c r="AU12" t="s">
        <v>91</v>
      </c>
      <c r="AV12" t="s">
        <v>11</v>
      </c>
      <c r="AW12" t="s">
        <v>9</v>
      </c>
      <c r="AX12" s="3">
        <v>44628</v>
      </c>
      <c r="AY12" t="s">
        <v>9</v>
      </c>
      <c r="AZ12" t="s">
        <v>9</v>
      </c>
      <c r="BA12" t="s">
        <v>9</v>
      </c>
      <c r="BB12" s="3"/>
      <c r="BC12" s="3"/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s="3">
        <v>44628</v>
      </c>
      <c r="BS12" s="3">
        <v>44628</v>
      </c>
      <c r="BT12" t="s">
        <v>9</v>
      </c>
      <c r="BU12" s="2">
        <v>0</v>
      </c>
      <c r="BV12" t="s">
        <v>9</v>
      </c>
      <c r="BW12" s="2">
        <v>0</v>
      </c>
      <c r="BX12" s="2">
        <v>0</v>
      </c>
      <c r="BY12" s="2">
        <v>0</v>
      </c>
      <c r="BZ12" s="2">
        <v>0</v>
      </c>
      <c r="CA12" t="s">
        <v>9</v>
      </c>
      <c r="CB12" t="s">
        <v>9</v>
      </c>
      <c r="CC12" s="3"/>
      <c r="CD12" t="s">
        <v>9</v>
      </c>
      <c r="CE12" s="3"/>
      <c r="CF12" t="s">
        <v>9</v>
      </c>
      <c r="CG12" s="4">
        <v>0</v>
      </c>
      <c r="CH12" t="s">
        <v>9</v>
      </c>
      <c r="CI12" t="s">
        <v>12</v>
      </c>
      <c r="CJ12" t="s">
        <v>13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89</v>
      </c>
      <c r="CR12" t="s">
        <v>9</v>
      </c>
      <c r="CS12" t="s">
        <v>9</v>
      </c>
      <c r="CT12" t="s">
        <v>13</v>
      </c>
      <c r="CU12" s="2">
        <v>21000</v>
      </c>
      <c r="CV12" t="s">
        <v>89</v>
      </c>
      <c r="CW12" t="s">
        <v>7</v>
      </c>
      <c r="CX12" t="s">
        <v>9</v>
      </c>
      <c r="CY12" t="s">
        <v>9</v>
      </c>
      <c r="CZ12" t="s">
        <v>92</v>
      </c>
      <c r="DA12" s="3"/>
      <c r="DB12" t="s">
        <v>9</v>
      </c>
      <c r="DC12" s="3"/>
      <c r="DD12" s="4">
        <v>0</v>
      </c>
      <c r="DE12" s="4">
        <v>0</v>
      </c>
      <c r="DF12" s="4">
        <v>0</v>
      </c>
      <c r="DG12" s="4">
        <v>0</v>
      </c>
      <c r="DH12" t="s">
        <v>9</v>
      </c>
      <c r="DI12" t="s">
        <v>9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5">
        <v>0</v>
      </c>
      <c r="DQ12" s="5">
        <v>0</v>
      </c>
      <c r="DR12" t="s">
        <v>13</v>
      </c>
      <c r="DS12" t="s">
        <v>9</v>
      </c>
      <c r="DT12" t="s">
        <v>9</v>
      </c>
      <c r="DU12" s="3">
        <v>44628</v>
      </c>
      <c r="DV12" t="s">
        <v>13</v>
      </c>
      <c r="DW12" t="s">
        <v>13</v>
      </c>
      <c r="DX12" t="s">
        <v>9</v>
      </c>
      <c r="DY12" t="s">
        <v>16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13</v>
      </c>
      <c r="EF12" t="s">
        <v>9</v>
      </c>
      <c r="EG12" t="s">
        <v>9</v>
      </c>
      <c r="EH12" t="s">
        <v>9</v>
      </c>
      <c r="EI12" t="s">
        <v>9</v>
      </c>
      <c r="EJ12" s="5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s="2">
        <v>0</v>
      </c>
      <c r="EZ12" s="2">
        <v>0</v>
      </c>
      <c r="FA12" t="s">
        <v>9</v>
      </c>
      <c r="FB12" t="s">
        <v>9</v>
      </c>
      <c r="FC12" t="s">
        <v>9</v>
      </c>
      <c r="FD12" s="2">
        <v>0</v>
      </c>
      <c r="FE12" s="2">
        <v>0</v>
      </c>
      <c r="FF12" s="2">
        <v>0</v>
      </c>
      <c r="FG12" t="s">
        <v>13</v>
      </c>
      <c r="FH12" t="s">
        <v>9</v>
      </c>
      <c r="FI12" t="s">
        <v>9</v>
      </c>
      <c r="FJ12" t="s">
        <v>9</v>
      </c>
      <c r="FK12" t="s">
        <v>9</v>
      </c>
      <c r="FL12" t="s">
        <v>93</v>
      </c>
      <c r="FM12" t="s">
        <v>9</v>
      </c>
      <c r="FN12" t="s">
        <v>13</v>
      </c>
      <c r="FO12" t="s">
        <v>13</v>
      </c>
      <c r="FP12" t="s">
        <v>9</v>
      </c>
      <c r="FQ12" t="s">
        <v>9</v>
      </c>
      <c r="FR12" s="2">
        <v>0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s="3"/>
      <c r="FY12" s="3"/>
      <c r="FZ12" s="5">
        <v>0</v>
      </c>
      <c r="GA12" s="5">
        <v>0</v>
      </c>
      <c r="GB12" s="2">
        <v>0</v>
      </c>
      <c r="GC12" s="2">
        <v>0</v>
      </c>
      <c r="GD12" t="s">
        <v>90</v>
      </c>
      <c r="GE12" t="s">
        <v>18</v>
      </c>
      <c r="GF12" t="s">
        <v>9</v>
      </c>
      <c r="GG12" t="s">
        <v>9</v>
      </c>
      <c r="GH12" t="s">
        <v>13</v>
      </c>
      <c r="GI12" t="s">
        <v>9</v>
      </c>
      <c r="GJ12" t="s">
        <v>9</v>
      </c>
      <c r="GK12" s="2">
        <v>0</v>
      </c>
      <c r="GL12" s="2">
        <v>0</v>
      </c>
      <c r="GM12" t="s">
        <v>9</v>
      </c>
      <c r="GN12" t="s">
        <v>9</v>
      </c>
      <c r="GO12" t="s">
        <v>9</v>
      </c>
      <c r="GP12" s="3"/>
      <c r="GQ12" t="s">
        <v>9</v>
      </c>
      <c r="GR12" t="s">
        <v>9</v>
      </c>
      <c r="GS12" t="s">
        <v>9</v>
      </c>
      <c r="GT12" t="s">
        <v>9</v>
      </c>
      <c r="GU12" t="s">
        <v>11</v>
      </c>
      <c r="GV12" t="s">
        <v>9</v>
      </c>
      <c r="GW12" t="s">
        <v>9</v>
      </c>
      <c r="GX12" t="s">
        <v>9</v>
      </c>
      <c r="GY12" t="s">
        <v>13</v>
      </c>
      <c r="GZ12" t="s">
        <v>13</v>
      </c>
      <c r="HA12" t="s">
        <v>13</v>
      </c>
      <c r="HB12" t="s">
        <v>13</v>
      </c>
      <c r="HC12" s="3"/>
      <c r="HD12" t="s">
        <v>9</v>
      </c>
      <c r="HE12" t="s">
        <v>9</v>
      </c>
      <c r="HF12" t="s">
        <v>9</v>
      </c>
      <c r="HG12" t="s">
        <v>13</v>
      </c>
      <c r="HH12" t="s">
        <v>9</v>
      </c>
      <c r="HI12" s="2">
        <v>0</v>
      </c>
      <c r="HJ12" s="2">
        <v>0</v>
      </c>
      <c r="HK12" t="s">
        <v>9</v>
      </c>
      <c r="HL12" t="s">
        <v>13</v>
      </c>
      <c r="HM12" t="s">
        <v>13</v>
      </c>
      <c r="HN12" t="s">
        <v>9</v>
      </c>
      <c r="HO12" s="3"/>
      <c r="HP12" s="3"/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t="s">
        <v>9</v>
      </c>
      <c r="IC12" t="s">
        <v>13</v>
      </c>
      <c r="ID12" t="s">
        <v>9</v>
      </c>
      <c r="IE12" t="s">
        <v>11</v>
      </c>
      <c r="IF12" t="s">
        <v>9</v>
      </c>
      <c r="IG12" t="s">
        <v>9</v>
      </c>
      <c r="IH12" t="s">
        <v>7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50</v>
      </c>
      <c r="IQ12" t="s">
        <v>9</v>
      </c>
      <c r="IR12" t="s">
        <v>9</v>
      </c>
      <c r="IS12" s="3">
        <v>44628</v>
      </c>
      <c r="IT12" t="s">
        <v>9</v>
      </c>
      <c r="IU12" t="s">
        <v>9</v>
      </c>
      <c r="IV12" s="2">
        <v>0</v>
      </c>
      <c r="IW12" s="2">
        <v>0</v>
      </c>
      <c r="IX12" s="2">
        <v>0</v>
      </c>
      <c r="IY12" t="s">
        <v>9</v>
      </c>
      <c r="IZ12" t="s">
        <v>94</v>
      </c>
      <c r="JA12" t="s">
        <v>95</v>
      </c>
      <c r="JB12" t="s">
        <v>95</v>
      </c>
      <c r="JC12" t="s">
        <v>6</v>
      </c>
      <c r="JD12" s="2">
        <v>0</v>
      </c>
      <c r="JE12" s="2">
        <v>0</v>
      </c>
      <c r="JF12" t="s">
        <v>9</v>
      </c>
      <c r="JG12" t="s">
        <v>11</v>
      </c>
      <c r="JH12" s="6">
        <v>0</v>
      </c>
      <c r="JI12" t="s">
        <v>9</v>
      </c>
      <c r="JJ12" t="s">
        <v>9</v>
      </c>
      <c r="JK12" t="s">
        <v>9</v>
      </c>
      <c r="JL12" t="s">
        <v>9</v>
      </c>
      <c r="JM12" t="s">
        <v>13</v>
      </c>
      <c r="JN12" s="2">
        <v>0</v>
      </c>
      <c r="JO12" s="2">
        <v>0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s="2">
        <v>0</v>
      </c>
      <c r="KB12" t="s">
        <v>9</v>
      </c>
      <c r="KC12" t="s">
        <v>13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s="2">
        <v>0</v>
      </c>
      <c r="KN12" s="2">
        <v>0</v>
      </c>
      <c r="KO12" s="2">
        <v>0</v>
      </c>
      <c r="KP12" s="2">
        <v>0</v>
      </c>
      <c r="KQ12" t="s">
        <v>13</v>
      </c>
      <c r="KR12" s="2">
        <v>0</v>
      </c>
      <c r="KS12" t="s">
        <v>13</v>
      </c>
      <c r="KT12" s="2">
        <v>21000</v>
      </c>
      <c r="KU12" s="3">
        <v>44628</v>
      </c>
      <c r="KV12" t="s">
        <v>96</v>
      </c>
      <c r="KW12" t="s">
        <v>97</v>
      </c>
      <c r="KX12" t="s">
        <v>9</v>
      </c>
      <c r="KY12" s="2">
        <v>0</v>
      </c>
      <c r="KZ12" t="s">
        <v>9</v>
      </c>
      <c r="LA12" t="s">
        <v>9</v>
      </c>
      <c r="LB12" t="s">
        <v>3</v>
      </c>
      <c r="LC12" t="s">
        <v>9</v>
      </c>
      <c r="LD12" s="3">
        <v>44628</v>
      </c>
      <c r="LE12" t="s">
        <v>75</v>
      </c>
      <c r="LF12" t="s">
        <v>9</v>
      </c>
      <c r="LG12" s="2">
        <v>0</v>
      </c>
      <c r="LH12" s="2">
        <v>0</v>
      </c>
      <c r="LI12" t="s">
        <v>9</v>
      </c>
      <c r="LJ12" s="4">
        <v>0</v>
      </c>
      <c r="LK12" s="3"/>
      <c r="LL12" t="s">
        <v>13</v>
      </c>
      <c r="LM12" t="s">
        <v>9</v>
      </c>
      <c r="LN12" t="s">
        <v>9</v>
      </c>
      <c r="LO12" s="5">
        <v>0</v>
      </c>
      <c r="LP12" s="5">
        <v>0</v>
      </c>
      <c r="LQ12" s="5">
        <v>0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s="3"/>
      <c r="LY12" t="s">
        <v>9</v>
      </c>
      <c r="LZ12" t="s">
        <v>9</v>
      </c>
      <c r="MA12" t="s">
        <v>9</v>
      </c>
      <c r="MB12" t="s">
        <v>22</v>
      </c>
      <c r="MC12" s="3"/>
      <c r="MD12" t="s">
        <v>9</v>
      </c>
      <c r="ME12" t="s">
        <v>9</v>
      </c>
      <c r="MF12" t="s">
        <v>13</v>
      </c>
      <c r="MG12" t="s">
        <v>11</v>
      </c>
      <c r="MH12" t="s">
        <v>9</v>
      </c>
      <c r="MI12" t="s">
        <v>13</v>
      </c>
      <c r="MJ12" t="s">
        <v>9</v>
      </c>
      <c r="MK12" t="s">
        <v>9</v>
      </c>
      <c r="ML12" t="s">
        <v>9</v>
      </c>
      <c r="MM12" t="s">
        <v>13</v>
      </c>
      <c r="MN12" t="s">
        <v>13</v>
      </c>
      <c r="MO12" t="s">
        <v>9</v>
      </c>
      <c r="MP12" t="s">
        <v>9</v>
      </c>
      <c r="MQ12" t="s">
        <v>13</v>
      </c>
      <c r="MR12" t="s">
        <v>91</v>
      </c>
      <c r="MS12" t="s">
        <v>9</v>
      </c>
      <c r="MT12" t="s">
        <v>9</v>
      </c>
      <c r="MU12" t="s">
        <v>9</v>
      </c>
      <c r="MV12" t="s">
        <v>9</v>
      </c>
      <c r="MW12" s="2">
        <v>0</v>
      </c>
      <c r="MX12" t="s">
        <v>9</v>
      </c>
      <c r="MY12" t="s">
        <v>9</v>
      </c>
      <c r="MZ12" t="s">
        <v>13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13</v>
      </c>
      <c r="NG12" s="2">
        <v>0</v>
      </c>
      <c r="NH12" s="2">
        <v>0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s="3"/>
      <c r="NO12" t="s">
        <v>9</v>
      </c>
      <c r="NP12" t="s">
        <v>9</v>
      </c>
      <c r="NQ12" t="s">
        <v>9</v>
      </c>
      <c r="NR12" s="2">
        <v>0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s="3"/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s="2">
        <v>0</v>
      </c>
      <c r="OG12" s="2">
        <v>0</v>
      </c>
      <c r="OH12" s="2">
        <v>0</v>
      </c>
      <c r="OI12" t="s">
        <v>9</v>
      </c>
      <c r="OJ12" s="3"/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s="2">
        <v>0</v>
      </c>
      <c r="OR12" s="2">
        <v>0</v>
      </c>
      <c r="OS12" t="s">
        <v>9</v>
      </c>
      <c r="OT12" s="2">
        <v>0</v>
      </c>
      <c r="OU12" t="s">
        <v>9</v>
      </c>
      <c r="OV12" t="s">
        <v>9</v>
      </c>
      <c r="OW12" t="s">
        <v>9</v>
      </c>
    </row>
    <row r="13" spans="1:413" x14ac:dyDescent="0.25">
      <c r="A13" t="s">
        <v>98</v>
      </c>
      <c r="B13" t="s">
        <v>24</v>
      </c>
      <c r="C13" t="s">
        <v>99</v>
      </c>
      <c r="D13" t="s">
        <v>3</v>
      </c>
      <c r="E13" t="s">
        <v>4</v>
      </c>
      <c r="F13" t="s">
        <v>5</v>
      </c>
      <c r="G13" t="s">
        <v>6</v>
      </c>
      <c r="H13" s="2">
        <v>600000</v>
      </c>
      <c r="I13" s="2">
        <v>600000</v>
      </c>
      <c r="J13" s="2">
        <v>0</v>
      </c>
      <c r="K13" s="2">
        <v>600000</v>
      </c>
      <c r="L13" t="s">
        <v>7</v>
      </c>
      <c r="M13" t="s">
        <v>8</v>
      </c>
      <c r="N13" t="s">
        <v>100</v>
      </c>
      <c r="O13" t="s">
        <v>103</v>
      </c>
      <c r="P13" t="s">
        <v>9</v>
      </c>
      <c r="Q13" t="s">
        <v>101</v>
      </c>
      <c r="R13" t="str">
        <f t="shared" si="0"/>
        <v>1000000_1100000020_Sunny</v>
      </c>
      <c r="S13" t="e">
        <f>VLOOKUP(R13,[1]Sheet1!$R$2:$AX$4,33,0)</f>
        <v>#N/A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s="2">
        <v>0</v>
      </c>
      <c r="Z13" t="s">
        <v>9</v>
      </c>
      <c r="AA13" t="s">
        <v>9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t="s">
        <v>9</v>
      </c>
      <c r="AQ13" t="s">
        <v>9</v>
      </c>
      <c r="AR13" t="s">
        <v>9</v>
      </c>
      <c r="AS13" s="3"/>
      <c r="AT13" s="3"/>
      <c r="AU13" t="s">
        <v>102</v>
      </c>
      <c r="AV13" t="s">
        <v>11</v>
      </c>
      <c r="AW13" t="s">
        <v>9</v>
      </c>
      <c r="AX13" s="3">
        <v>44097</v>
      </c>
      <c r="AY13" t="s">
        <v>9</v>
      </c>
      <c r="AZ13" t="s">
        <v>9</v>
      </c>
      <c r="BA13" t="s">
        <v>9</v>
      </c>
      <c r="BB13" s="3"/>
      <c r="BC13" s="3"/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s="3">
        <v>44097</v>
      </c>
      <c r="BS13" s="3">
        <v>44097</v>
      </c>
      <c r="BT13" t="s">
        <v>9</v>
      </c>
      <c r="BU13" s="2">
        <v>0</v>
      </c>
      <c r="BV13" t="s">
        <v>9</v>
      </c>
      <c r="BW13" s="2">
        <v>0</v>
      </c>
      <c r="BX13" s="2">
        <v>0</v>
      </c>
      <c r="BY13" s="2">
        <v>0</v>
      </c>
      <c r="BZ13" s="2">
        <v>600000</v>
      </c>
      <c r="CA13" t="s">
        <v>9</v>
      </c>
      <c r="CB13" t="s">
        <v>9</v>
      </c>
      <c r="CC13" s="3"/>
      <c r="CD13" t="s">
        <v>9</v>
      </c>
      <c r="CE13" s="3"/>
      <c r="CF13" t="s">
        <v>9</v>
      </c>
      <c r="CG13" s="4">
        <v>0</v>
      </c>
      <c r="CH13" t="s">
        <v>9</v>
      </c>
      <c r="CI13" t="s">
        <v>12</v>
      </c>
      <c r="CJ13" t="s">
        <v>13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98</v>
      </c>
      <c r="CR13" t="s">
        <v>9</v>
      </c>
      <c r="CS13" t="s">
        <v>9</v>
      </c>
      <c r="CT13" t="s">
        <v>13</v>
      </c>
      <c r="CU13" s="2">
        <v>600000</v>
      </c>
      <c r="CV13" t="s">
        <v>98</v>
      </c>
      <c r="CW13" t="s">
        <v>7</v>
      </c>
      <c r="CX13" t="s">
        <v>9</v>
      </c>
      <c r="CY13" t="s">
        <v>9</v>
      </c>
      <c r="CZ13" t="s">
        <v>103</v>
      </c>
      <c r="DA13" s="3"/>
      <c r="DB13" t="s">
        <v>9</v>
      </c>
      <c r="DC13" s="3"/>
      <c r="DD13" s="4">
        <v>0</v>
      </c>
      <c r="DE13" s="4">
        <v>0</v>
      </c>
      <c r="DF13" s="4">
        <v>0</v>
      </c>
      <c r="DG13" s="4">
        <v>0</v>
      </c>
      <c r="DH13" t="s">
        <v>9</v>
      </c>
      <c r="DI13" t="s">
        <v>9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5">
        <v>0</v>
      </c>
      <c r="DQ13" s="5">
        <v>0</v>
      </c>
      <c r="DR13" t="s">
        <v>13</v>
      </c>
      <c r="DS13" t="s">
        <v>9</v>
      </c>
      <c r="DT13" t="s">
        <v>9</v>
      </c>
      <c r="DU13" s="3">
        <v>44097</v>
      </c>
      <c r="DV13" t="s">
        <v>13</v>
      </c>
      <c r="DW13" t="s">
        <v>13</v>
      </c>
      <c r="DX13" t="s">
        <v>9</v>
      </c>
      <c r="DY13" t="s">
        <v>16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13</v>
      </c>
      <c r="EF13" t="s">
        <v>9</v>
      </c>
      <c r="EG13" t="s">
        <v>9</v>
      </c>
      <c r="EH13" t="s">
        <v>9</v>
      </c>
      <c r="EI13" t="s">
        <v>9</v>
      </c>
      <c r="EJ13" s="5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s="2">
        <v>0</v>
      </c>
      <c r="EZ13" s="2">
        <v>0</v>
      </c>
      <c r="FA13" t="s">
        <v>9</v>
      </c>
      <c r="FB13" t="s">
        <v>9</v>
      </c>
      <c r="FC13" t="s">
        <v>9</v>
      </c>
      <c r="FD13" s="2">
        <v>0</v>
      </c>
      <c r="FE13" s="2">
        <v>0</v>
      </c>
      <c r="FF13" s="2">
        <v>0</v>
      </c>
      <c r="FG13" t="s">
        <v>13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13</v>
      </c>
      <c r="FO13" t="s">
        <v>13</v>
      </c>
      <c r="FP13" t="s">
        <v>9</v>
      </c>
      <c r="FQ13" t="s">
        <v>9</v>
      </c>
      <c r="FR13" s="2">
        <v>0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s="3"/>
      <c r="FY13" s="3"/>
      <c r="FZ13" s="5">
        <v>0</v>
      </c>
      <c r="GA13" s="5">
        <v>0</v>
      </c>
      <c r="GB13" s="2">
        <v>0</v>
      </c>
      <c r="GC13" s="2">
        <v>0</v>
      </c>
      <c r="GD13" t="s">
        <v>101</v>
      </c>
      <c r="GE13" t="s">
        <v>18</v>
      </c>
      <c r="GF13" t="s">
        <v>9</v>
      </c>
      <c r="GG13" t="s">
        <v>9</v>
      </c>
      <c r="GH13" t="s">
        <v>13</v>
      </c>
      <c r="GI13" t="s">
        <v>9</v>
      </c>
      <c r="GJ13" t="s">
        <v>9</v>
      </c>
      <c r="GK13" s="2">
        <v>0</v>
      </c>
      <c r="GL13" s="2">
        <v>0</v>
      </c>
      <c r="GM13" t="s">
        <v>9</v>
      </c>
      <c r="GN13" t="s">
        <v>9</v>
      </c>
      <c r="GO13" t="s">
        <v>9</v>
      </c>
      <c r="GP13" s="3"/>
      <c r="GQ13" t="s">
        <v>9</v>
      </c>
      <c r="GR13" t="s">
        <v>9</v>
      </c>
      <c r="GS13" t="s">
        <v>9</v>
      </c>
      <c r="GT13" t="s">
        <v>9</v>
      </c>
      <c r="GU13" t="s">
        <v>11</v>
      </c>
      <c r="GV13" t="s">
        <v>9</v>
      </c>
      <c r="GW13" t="s">
        <v>9</v>
      </c>
      <c r="GX13" t="s">
        <v>9</v>
      </c>
      <c r="GY13" t="s">
        <v>13</v>
      </c>
      <c r="GZ13" t="s">
        <v>13</v>
      </c>
      <c r="HA13" t="s">
        <v>13</v>
      </c>
      <c r="HB13" t="s">
        <v>13</v>
      </c>
      <c r="HC13" s="3"/>
      <c r="HD13" t="s">
        <v>9</v>
      </c>
      <c r="HE13" t="s">
        <v>9</v>
      </c>
      <c r="HF13" t="s">
        <v>9</v>
      </c>
      <c r="HG13" t="s">
        <v>13</v>
      </c>
      <c r="HH13" t="s">
        <v>9</v>
      </c>
      <c r="HI13" s="2">
        <v>0</v>
      </c>
      <c r="HJ13" s="2">
        <v>0</v>
      </c>
      <c r="HK13" t="s">
        <v>9</v>
      </c>
      <c r="HL13" t="s">
        <v>13</v>
      </c>
      <c r="HM13" t="s">
        <v>13</v>
      </c>
      <c r="HN13" t="s">
        <v>9</v>
      </c>
      <c r="HO13" s="3"/>
      <c r="HP13" s="3"/>
      <c r="HQ13" s="2">
        <v>0</v>
      </c>
      <c r="HR13" s="2">
        <v>0</v>
      </c>
      <c r="HS13" s="2">
        <v>0</v>
      </c>
      <c r="HT13" s="2">
        <v>210000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t="s">
        <v>9</v>
      </c>
      <c r="IC13" t="s">
        <v>13</v>
      </c>
      <c r="ID13" t="s">
        <v>9</v>
      </c>
      <c r="IE13" t="s">
        <v>11</v>
      </c>
      <c r="IF13" t="s">
        <v>9</v>
      </c>
      <c r="IG13" t="s">
        <v>9</v>
      </c>
      <c r="IH13" t="s">
        <v>7</v>
      </c>
      <c r="II13" t="s">
        <v>27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s="3">
        <v>44097</v>
      </c>
      <c r="IT13" t="s">
        <v>9</v>
      </c>
      <c r="IU13" t="s">
        <v>9</v>
      </c>
      <c r="IV13" s="2">
        <v>0</v>
      </c>
      <c r="IW13" s="2">
        <v>0</v>
      </c>
      <c r="IX13" s="2">
        <v>0</v>
      </c>
      <c r="IY13" t="s">
        <v>9</v>
      </c>
      <c r="IZ13" t="s">
        <v>104</v>
      </c>
      <c r="JA13" t="s">
        <v>105</v>
      </c>
      <c r="JB13" t="s">
        <v>105</v>
      </c>
      <c r="JC13" t="s">
        <v>6</v>
      </c>
      <c r="JD13" s="2">
        <v>0</v>
      </c>
      <c r="JE13" s="2">
        <v>0</v>
      </c>
      <c r="JF13" t="s">
        <v>9</v>
      </c>
      <c r="JG13" t="s">
        <v>11</v>
      </c>
      <c r="JH13" s="6">
        <v>0</v>
      </c>
      <c r="JI13" t="s">
        <v>9</v>
      </c>
      <c r="JJ13" t="s">
        <v>9</v>
      </c>
      <c r="JK13" t="s">
        <v>9</v>
      </c>
      <c r="JL13" t="s">
        <v>9</v>
      </c>
      <c r="JM13" t="s">
        <v>13</v>
      </c>
      <c r="JN13" s="2">
        <v>0</v>
      </c>
      <c r="JO13" s="2">
        <v>0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s="2">
        <v>0</v>
      </c>
      <c r="KB13" t="s">
        <v>9</v>
      </c>
      <c r="KC13" t="s">
        <v>13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0</v>
      </c>
      <c r="KL13" t="s">
        <v>9</v>
      </c>
      <c r="KM13" s="2">
        <v>0</v>
      </c>
      <c r="KN13" s="2">
        <v>0</v>
      </c>
      <c r="KO13" s="2">
        <v>0</v>
      </c>
      <c r="KP13" s="2">
        <v>0</v>
      </c>
      <c r="KQ13" t="s">
        <v>13</v>
      </c>
      <c r="KR13" s="2">
        <v>0</v>
      </c>
      <c r="KS13" t="s">
        <v>13</v>
      </c>
      <c r="KT13" s="2">
        <v>0</v>
      </c>
      <c r="KU13" s="3"/>
      <c r="KV13" t="s">
        <v>9</v>
      </c>
      <c r="KW13" t="s">
        <v>9</v>
      </c>
      <c r="KX13" t="s">
        <v>9</v>
      </c>
      <c r="KY13" s="2">
        <v>0</v>
      </c>
      <c r="KZ13" t="s">
        <v>9</v>
      </c>
      <c r="LA13" t="s">
        <v>9</v>
      </c>
      <c r="LB13" t="s">
        <v>3</v>
      </c>
      <c r="LC13" t="s">
        <v>9</v>
      </c>
      <c r="LD13" s="3">
        <v>44097</v>
      </c>
      <c r="LE13" t="s">
        <v>21</v>
      </c>
      <c r="LF13" t="s">
        <v>9</v>
      </c>
      <c r="LG13" s="2">
        <v>0</v>
      </c>
      <c r="LH13" s="2">
        <v>0</v>
      </c>
      <c r="LI13" t="s">
        <v>9</v>
      </c>
      <c r="LJ13" s="4">
        <v>0</v>
      </c>
      <c r="LK13" s="3"/>
      <c r="LL13" t="s">
        <v>13</v>
      </c>
      <c r="LM13" t="s">
        <v>9</v>
      </c>
      <c r="LN13" t="s">
        <v>9</v>
      </c>
      <c r="LO13" s="5">
        <v>0</v>
      </c>
      <c r="LP13" s="5">
        <v>0</v>
      </c>
      <c r="LQ13" s="5">
        <v>0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s="3"/>
      <c r="LY13" t="s">
        <v>9</v>
      </c>
      <c r="LZ13" t="s">
        <v>9</v>
      </c>
      <c r="MA13" t="s">
        <v>9</v>
      </c>
      <c r="MB13" t="s">
        <v>22</v>
      </c>
      <c r="MC13" s="3"/>
      <c r="MD13" t="s">
        <v>9</v>
      </c>
      <c r="ME13" t="s">
        <v>9</v>
      </c>
      <c r="MF13" t="s">
        <v>13</v>
      </c>
      <c r="MG13" t="s">
        <v>11</v>
      </c>
      <c r="MH13" t="s">
        <v>9</v>
      </c>
      <c r="MI13" t="s">
        <v>13</v>
      </c>
      <c r="MJ13" t="s">
        <v>9</v>
      </c>
      <c r="MK13" t="s">
        <v>9</v>
      </c>
      <c r="ML13" t="s">
        <v>9</v>
      </c>
      <c r="MM13" t="s">
        <v>13</v>
      </c>
      <c r="MN13" t="s">
        <v>13</v>
      </c>
      <c r="MO13" t="s">
        <v>9</v>
      </c>
      <c r="MP13" t="s">
        <v>9</v>
      </c>
      <c r="MQ13" t="s">
        <v>13</v>
      </c>
      <c r="MR13" t="s">
        <v>102</v>
      </c>
      <c r="MS13" t="s">
        <v>9</v>
      </c>
      <c r="MT13" t="s">
        <v>9</v>
      </c>
      <c r="MU13" t="s">
        <v>9</v>
      </c>
      <c r="MV13" t="s">
        <v>9</v>
      </c>
      <c r="MW13" s="2">
        <v>0</v>
      </c>
      <c r="MX13" t="s">
        <v>9</v>
      </c>
      <c r="MY13" t="s">
        <v>9</v>
      </c>
      <c r="MZ13" t="s">
        <v>13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13</v>
      </c>
      <c r="NG13" s="2">
        <v>0</v>
      </c>
      <c r="NH13" s="2">
        <v>0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s="3"/>
      <c r="NO13" t="s">
        <v>9</v>
      </c>
      <c r="NP13" t="s">
        <v>9</v>
      </c>
      <c r="NQ13" t="s">
        <v>9</v>
      </c>
      <c r="NR13" s="2">
        <v>0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s="3"/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s="2">
        <v>0</v>
      </c>
      <c r="OG13" s="2">
        <v>0</v>
      </c>
      <c r="OH13" s="2">
        <v>0</v>
      </c>
      <c r="OI13" t="s">
        <v>9</v>
      </c>
      <c r="OJ13" s="3"/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s="2">
        <v>0</v>
      </c>
      <c r="OR13" s="2">
        <v>0</v>
      </c>
      <c r="OS13" t="s">
        <v>9</v>
      </c>
      <c r="OT13" s="2">
        <v>0</v>
      </c>
      <c r="OU13" t="s">
        <v>9</v>
      </c>
      <c r="OV13" t="s">
        <v>9</v>
      </c>
      <c r="OW13" t="s">
        <v>9</v>
      </c>
    </row>
    <row r="14" spans="1:413" x14ac:dyDescent="0.25">
      <c r="A14" t="s">
        <v>106</v>
      </c>
      <c r="B14" t="s">
        <v>24</v>
      </c>
      <c r="C14" t="s">
        <v>99</v>
      </c>
      <c r="D14" t="s">
        <v>3</v>
      </c>
      <c r="E14" t="s">
        <v>4</v>
      </c>
      <c r="F14" t="s">
        <v>5</v>
      </c>
      <c r="G14" t="s">
        <v>6</v>
      </c>
      <c r="H14" s="2">
        <v>1890</v>
      </c>
      <c r="I14" s="2">
        <v>1890</v>
      </c>
      <c r="J14" s="2">
        <v>0</v>
      </c>
      <c r="K14" s="2">
        <v>1890</v>
      </c>
      <c r="L14" t="s">
        <v>7</v>
      </c>
      <c r="M14" t="s">
        <v>8</v>
      </c>
      <c r="N14" t="s">
        <v>107</v>
      </c>
      <c r="O14" t="s">
        <v>108</v>
      </c>
      <c r="P14" t="s">
        <v>9</v>
      </c>
      <c r="Q14" t="s">
        <v>49</v>
      </c>
      <c r="R14" t="str">
        <f t="shared" si="0"/>
        <v>20001_1100000010_Sunny</v>
      </c>
      <c r="S14" t="e">
        <f>VLOOKUP(R14,[1]Sheet1!$R$2:$AX$4,33,0)</f>
        <v>#N/A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s="2">
        <v>0</v>
      </c>
      <c r="Z14" t="s">
        <v>9</v>
      </c>
      <c r="AA14" t="s">
        <v>9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t="s">
        <v>9</v>
      </c>
      <c r="AQ14" t="s">
        <v>9</v>
      </c>
      <c r="AR14" t="s">
        <v>9</v>
      </c>
      <c r="AS14" s="3"/>
      <c r="AT14" s="3"/>
      <c r="AU14" t="s">
        <v>9</v>
      </c>
      <c r="AV14" t="s">
        <v>11</v>
      </c>
      <c r="AW14" t="s">
        <v>9</v>
      </c>
      <c r="AX14" s="3">
        <v>44044</v>
      </c>
      <c r="AY14" t="s">
        <v>9</v>
      </c>
      <c r="AZ14" t="s">
        <v>9</v>
      </c>
      <c r="BA14" t="s">
        <v>9</v>
      </c>
      <c r="BB14" s="3"/>
      <c r="BC14" s="3"/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s="3">
        <v>44044</v>
      </c>
      <c r="BS14" s="3">
        <v>44044</v>
      </c>
      <c r="BT14" t="s">
        <v>9</v>
      </c>
      <c r="BU14" s="2">
        <v>0</v>
      </c>
      <c r="BV14" t="s">
        <v>9</v>
      </c>
      <c r="BW14" s="2">
        <v>0</v>
      </c>
      <c r="BX14" s="2">
        <v>0</v>
      </c>
      <c r="BY14" s="2">
        <v>0</v>
      </c>
      <c r="BZ14" s="2">
        <v>1890</v>
      </c>
      <c r="CA14" t="s">
        <v>9</v>
      </c>
      <c r="CB14" t="s">
        <v>9</v>
      </c>
      <c r="CC14" s="3"/>
      <c r="CD14" t="s">
        <v>9</v>
      </c>
      <c r="CE14" s="3"/>
      <c r="CF14" t="s">
        <v>9</v>
      </c>
      <c r="CG14" s="4">
        <v>0</v>
      </c>
      <c r="CH14" t="s">
        <v>9</v>
      </c>
      <c r="CI14" t="s">
        <v>12</v>
      </c>
      <c r="CJ14" t="s">
        <v>13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106</v>
      </c>
      <c r="CR14" t="s">
        <v>9</v>
      </c>
      <c r="CS14" t="s">
        <v>9</v>
      </c>
      <c r="CT14" t="s">
        <v>13</v>
      </c>
      <c r="CU14" s="2">
        <v>0</v>
      </c>
      <c r="CV14" t="s">
        <v>9</v>
      </c>
      <c r="CW14" t="s">
        <v>7</v>
      </c>
      <c r="CX14" t="s">
        <v>9</v>
      </c>
      <c r="CY14" t="s">
        <v>9</v>
      </c>
      <c r="CZ14" t="s">
        <v>108</v>
      </c>
      <c r="DA14" s="3"/>
      <c r="DB14" t="s">
        <v>9</v>
      </c>
      <c r="DC14" s="3"/>
      <c r="DD14" s="4">
        <v>0</v>
      </c>
      <c r="DE14" s="4">
        <v>0</v>
      </c>
      <c r="DF14" s="4">
        <v>0</v>
      </c>
      <c r="DG14" s="4">
        <v>0</v>
      </c>
      <c r="DH14" t="s">
        <v>9</v>
      </c>
      <c r="DI14" t="s">
        <v>9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5">
        <v>0</v>
      </c>
      <c r="DQ14" s="5">
        <v>0</v>
      </c>
      <c r="DR14" t="s">
        <v>13</v>
      </c>
      <c r="DS14" t="s">
        <v>9</v>
      </c>
      <c r="DT14" t="s">
        <v>9</v>
      </c>
      <c r="DU14" s="3">
        <v>44044</v>
      </c>
      <c r="DV14" t="s">
        <v>13</v>
      </c>
      <c r="DW14" t="s">
        <v>13</v>
      </c>
      <c r="DX14" t="s">
        <v>9</v>
      </c>
      <c r="DY14" t="s">
        <v>16</v>
      </c>
      <c r="DZ14" t="s">
        <v>9</v>
      </c>
      <c r="EA14" t="s">
        <v>9</v>
      </c>
      <c r="EB14" t="s">
        <v>9</v>
      </c>
      <c r="EC14" t="s">
        <v>9</v>
      </c>
      <c r="ED14" t="s">
        <v>9</v>
      </c>
      <c r="EE14" t="s">
        <v>3</v>
      </c>
      <c r="EF14" t="s">
        <v>9</v>
      </c>
      <c r="EG14" t="s">
        <v>9</v>
      </c>
      <c r="EH14" t="s">
        <v>9</v>
      </c>
      <c r="EI14" t="s">
        <v>9</v>
      </c>
      <c r="EJ14" s="5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t="s">
        <v>9</v>
      </c>
      <c r="ES14" t="s">
        <v>9</v>
      </c>
      <c r="ET14" t="s">
        <v>9</v>
      </c>
      <c r="EU14" t="s">
        <v>9</v>
      </c>
      <c r="EV14" t="s">
        <v>9</v>
      </c>
      <c r="EW14" t="s">
        <v>9</v>
      </c>
      <c r="EX14" t="s">
        <v>9</v>
      </c>
      <c r="EY14" s="2">
        <v>0</v>
      </c>
      <c r="EZ14" s="2">
        <v>0</v>
      </c>
      <c r="FA14" t="s">
        <v>9</v>
      </c>
      <c r="FB14" t="s">
        <v>9</v>
      </c>
      <c r="FC14" t="s">
        <v>9</v>
      </c>
      <c r="FD14" s="2">
        <v>0</v>
      </c>
      <c r="FE14" s="2">
        <v>0</v>
      </c>
      <c r="FF14" s="2">
        <v>0</v>
      </c>
      <c r="FG14" t="s">
        <v>13</v>
      </c>
      <c r="FH14" t="s">
        <v>9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13</v>
      </c>
      <c r="FO14" t="s">
        <v>13</v>
      </c>
      <c r="FP14" t="s">
        <v>9</v>
      </c>
      <c r="FQ14" t="s">
        <v>9</v>
      </c>
      <c r="FR14" s="2">
        <v>0</v>
      </c>
      <c r="FS14" t="s">
        <v>9</v>
      </c>
      <c r="FT14" t="s">
        <v>9</v>
      </c>
      <c r="FU14" t="s">
        <v>9</v>
      </c>
      <c r="FV14" t="s">
        <v>9</v>
      </c>
      <c r="FW14" t="s">
        <v>9</v>
      </c>
      <c r="FX14" s="3"/>
      <c r="FY14" s="3"/>
      <c r="FZ14" s="5">
        <v>0</v>
      </c>
      <c r="GA14" s="5">
        <v>0</v>
      </c>
      <c r="GB14" s="2">
        <v>0</v>
      </c>
      <c r="GC14" s="2">
        <v>0</v>
      </c>
      <c r="GD14" t="s">
        <v>49</v>
      </c>
      <c r="GE14" t="s">
        <v>18</v>
      </c>
      <c r="GF14" t="s">
        <v>9</v>
      </c>
      <c r="GG14" t="s">
        <v>9</v>
      </c>
      <c r="GH14" t="s">
        <v>13</v>
      </c>
      <c r="GI14" t="s">
        <v>9</v>
      </c>
      <c r="GJ14" t="s">
        <v>9</v>
      </c>
      <c r="GK14" s="2">
        <v>0</v>
      </c>
      <c r="GL14" s="2">
        <v>0</v>
      </c>
      <c r="GM14" t="s">
        <v>9</v>
      </c>
      <c r="GN14" t="s">
        <v>9</v>
      </c>
      <c r="GO14" t="s">
        <v>9</v>
      </c>
      <c r="GP14" s="3"/>
      <c r="GQ14" t="s">
        <v>9</v>
      </c>
      <c r="GR14" t="s">
        <v>9</v>
      </c>
      <c r="GS14" t="s">
        <v>9</v>
      </c>
      <c r="GT14" t="s">
        <v>9</v>
      </c>
      <c r="GU14" t="s">
        <v>11</v>
      </c>
      <c r="GV14" t="s">
        <v>9</v>
      </c>
      <c r="GW14" t="s">
        <v>9</v>
      </c>
      <c r="GX14" t="s">
        <v>9</v>
      </c>
      <c r="GY14" t="s">
        <v>13</v>
      </c>
      <c r="GZ14" t="s">
        <v>13</v>
      </c>
      <c r="HA14" t="s">
        <v>13</v>
      </c>
      <c r="HB14" t="s">
        <v>13</v>
      </c>
      <c r="HC14" s="3"/>
      <c r="HD14" t="s">
        <v>9</v>
      </c>
      <c r="HE14" t="s">
        <v>9</v>
      </c>
      <c r="HF14" t="s">
        <v>9</v>
      </c>
      <c r="HG14" t="s">
        <v>13</v>
      </c>
      <c r="HH14" t="s">
        <v>9</v>
      </c>
      <c r="HI14" s="2">
        <v>0</v>
      </c>
      <c r="HJ14" s="2">
        <v>0</v>
      </c>
      <c r="HK14" t="s">
        <v>9</v>
      </c>
      <c r="HL14" t="s">
        <v>13</v>
      </c>
      <c r="HM14" t="s">
        <v>13</v>
      </c>
      <c r="HN14" t="s">
        <v>9</v>
      </c>
      <c r="HO14" s="3"/>
      <c r="HP14" s="3">
        <v>44065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t="s">
        <v>9</v>
      </c>
      <c r="IC14" t="s">
        <v>13</v>
      </c>
      <c r="ID14" t="s">
        <v>9</v>
      </c>
      <c r="IE14" t="s">
        <v>11</v>
      </c>
      <c r="IF14" t="s">
        <v>9</v>
      </c>
      <c r="IG14" t="s">
        <v>9</v>
      </c>
      <c r="IH14" t="s">
        <v>7</v>
      </c>
      <c r="II14" t="s">
        <v>9</v>
      </c>
      <c r="IJ14" t="s">
        <v>9</v>
      </c>
      <c r="IK14" t="s">
        <v>9</v>
      </c>
      <c r="IL14" t="s">
        <v>9</v>
      </c>
      <c r="IM14" t="s">
        <v>9</v>
      </c>
      <c r="IN14" t="s">
        <v>9</v>
      </c>
      <c r="IO14" t="s">
        <v>9</v>
      </c>
      <c r="IP14" t="s">
        <v>9</v>
      </c>
      <c r="IQ14" t="s">
        <v>9</v>
      </c>
      <c r="IR14" t="s">
        <v>9</v>
      </c>
      <c r="IS14" s="3">
        <v>44044</v>
      </c>
      <c r="IT14" t="s">
        <v>9</v>
      </c>
      <c r="IU14" t="s">
        <v>9</v>
      </c>
      <c r="IV14" s="2">
        <v>0</v>
      </c>
      <c r="IW14" s="2">
        <v>0</v>
      </c>
      <c r="IX14" s="2">
        <v>0</v>
      </c>
      <c r="IY14" t="s">
        <v>9</v>
      </c>
      <c r="IZ14" t="s">
        <v>109</v>
      </c>
      <c r="JA14" t="s">
        <v>110</v>
      </c>
      <c r="JB14" t="s">
        <v>110</v>
      </c>
      <c r="JC14" t="s">
        <v>6</v>
      </c>
      <c r="JD14" s="2">
        <v>0</v>
      </c>
      <c r="JE14" s="2">
        <v>0</v>
      </c>
      <c r="JF14" t="s">
        <v>9</v>
      </c>
      <c r="JG14" t="s">
        <v>11</v>
      </c>
      <c r="JH14" s="6">
        <v>0</v>
      </c>
      <c r="JI14" t="s">
        <v>9</v>
      </c>
      <c r="JJ14" t="s">
        <v>9</v>
      </c>
      <c r="JK14" t="s">
        <v>9</v>
      </c>
      <c r="JL14" t="s">
        <v>9</v>
      </c>
      <c r="JM14" t="s">
        <v>13</v>
      </c>
      <c r="JN14" s="2">
        <v>0</v>
      </c>
      <c r="JO14" s="2">
        <v>0</v>
      </c>
      <c r="JP14" t="s">
        <v>9</v>
      </c>
      <c r="JQ14" t="s">
        <v>9</v>
      </c>
      <c r="JR14" t="s">
        <v>9</v>
      </c>
      <c r="JS14" t="s">
        <v>9</v>
      </c>
      <c r="JT14" t="s">
        <v>9</v>
      </c>
      <c r="JU14" t="s">
        <v>9</v>
      </c>
      <c r="JV14" t="s">
        <v>9</v>
      </c>
      <c r="JW14" t="s">
        <v>9</v>
      </c>
      <c r="JX14" t="s">
        <v>9</v>
      </c>
      <c r="JY14" t="s">
        <v>9</v>
      </c>
      <c r="JZ14" t="s">
        <v>9</v>
      </c>
      <c r="KA14" s="2">
        <v>0</v>
      </c>
      <c r="KB14" t="s">
        <v>9</v>
      </c>
      <c r="KC14" t="s">
        <v>13</v>
      </c>
      <c r="KD14" t="s">
        <v>9</v>
      </c>
      <c r="KE14" t="s">
        <v>9</v>
      </c>
      <c r="KF14" t="s">
        <v>9</v>
      </c>
      <c r="KG14" t="s">
        <v>9</v>
      </c>
      <c r="KH14" t="s">
        <v>9</v>
      </c>
      <c r="KI14" t="s">
        <v>9</v>
      </c>
      <c r="KJ14" t="s">
        <v>9</v>
      </c>
      <c r="KK14" t="s">
        <v>0</v>
      </c>
      <c r="KL14" t="s">
        <v>9</v>
      </c>
      <c r="KM14" s="2">
        <v>0</v>
      </c>
      <c r="KN14" s="2">
        <v>0</v>
      </c>
      <c r="KO14" s="2">
        <v>0</v>
      </c>
      <c r="KP14" s="2">
        <v>0</v>
      </c>
      <c r="KQ14" t="s">
        <v>13</v>
      </c>
      <c r="KR14" s="2">
        <v>0</v>
      </c>
      <c r="KS14" t="s">
        <v>13</v>
      </c>
      <c r="KT14" s="2">
        <v>0</v>
      </c>
      <c r="KU14" s="3"/>
      <c r="KV14" t="s">
        <v>9</v>
      </c>
      <c r="KW14" t="s">
        <v>9</v>
      </c>
      <c r="KX14" t="s">
        <v>9</v>
      </c>
      <c r="KY14" s="2">
        <v>0</v>
      </c>
      <c r="KZ14" t="s">
        <v>9</v>
      </c>
      <c r="LA14" t="s">
        <v>9</v>
      </c>
      <c r="LB14" t="s">
        <v>3</v>
      </c>
      <c r="LC14" t="s">
        <v>9</v>
      </c>
      <c r="LD14" s="3">
        <v>44044</v>
      </c>
      <c r="LE14" t="s">
        <v>65</v>
      </c>
      <c r="LF14" t="s">
        <v>9</v>
      </c>
      <c r="LG14" s="2">
        <v>0</v>
      </c>
      <c r="LH14" s="2">
        <v>0</v>
      </c>
      <c r="LI14" t="s">
        <v>9</v>
      </c>
      <c r="LJ14" s="4">
        <v>0</v>
      </c>
      <c r="LK14" s="3"/>
      <c r="LL14" t="s">
        <v>13</v>
      </c>
      <c r="LM14" t="s">
        <v>9</v>
      </c>
      <c r="LN14" t="s">
        <v>9</v>
      </c>
      <c r="LO14" s="5">
        <v>0</v>
      </c>
      <c r="LP14" s="5">
        <v>0</v>
      </c>
      <c r="LQ14" s="5">
        <v>0</v>
      </c>
      <c r="LR14" t="s">
        <v>9</v>
      </c>
      <c r="LS14" t="s">
        <v>9</v>
      </c>
      <c r="LT14" t="s">
        <v>9</v>
      </c>
      <c r="LU14" t="s">
        <v>9</v>
      </c>
      <c r="LV14" t="s">
        <v>9</v>
      </c>
      <c r="LW14" t="s">
        <v>9</v>
      </c>
      <c r="LX14" s="3"/>
      <c r="LY14" t="s">
        <v>9</v>
      </c>
      <c r="LZ14" t="s">
        <v>9</v>
      </c>
      <c r="MA14" t="s">
        <v>9</v>
      </c>
      <c r="MB14" t="s">
        <v>22</v>
      </c>
      <c r="MC14" s="3"/>
      <c r="MD14" t="s">
        <v>9</v>
      </c>
      <c r="ME14" t="s">
        <v>9</v>
      </c>
      <c r="MF14" t="s">
        <v>13</v>
      </c>
      <c r="MG14" t="s">
        <v>11</v>
      </c>
      <c r="MH14" t="s">
        <v>9</v>
      </c>
      <c r="MI14" t="s">
        <v>13</v>
      </c>
      <c r="MJ14" t="s">
        <v>9</v>
      </c>
      <c r="MK14" t="s">
        <v>9</v>
      </c>
      <c r="ML14" t="s">
        <v>9</v>
      </c>
      <c r="MM14" t="s">
        <v>13</v>
      </c>
      <c r="MN14" t="s">
        <v>13</v>
      </c>
      <c r="MO14" t="s">
        <v>9</v>
      </c>
      <c r="MP14" t="s">
        <v>9</v>
      </c>
      <c r="MQ14" t="s">
        <v>13</v>
      </c>
      <c r="MR14" t="s">
        <v>9</v>
      </c>
      <c r="MS14" t="s">
        <v>9</v>
      </c>
      <c r="MT14" t="s">
        <v>9</v>
      </c>
      <c r="MU14" t="s">
        <v>9</v>
      </c>
      <c r="MV14" t="s">
        <v>9</v>
      </c>
      <c r="MW14" s="2">
        <v>0</v>
      </c>
      <c r="MX14" t="s">
        <v>9</v>
      </c>
      <c r="MY14" t="s">
        <v>9</v>
      </c>
      <c r="MZ14" t="s">
        <v>13</v>
      </c>
      <c r="NA14" t="s">
        <v>9</v>
      </c>
      <c r="NB14" t="s">
        <v>9</v>
      </c>
      <c r="NC14" t="s">
        <v>9</v>
      </c>
      <c r="ND14" t="s">
        <v>9</v>
      </c>
      <c r="NE14" t="s">
        <v>9</v>
      </c>
      <c r="NF14" t="s">
        <v>13</v>
      </c>
      <c r="NG14" s="2">
        <v>0</v>
      </c>
      <c r="NH14" s="2">
        <v>0</v>
      </c>
      <c r="NI14" t="s">
        <v>9</v>
      </c>
      <c r="NJ14" t="s">
        <v>9</v>
      </c>
      <c r="NK14" t="s">
        <v>9</v>
      </c>
      <c r="NL14" t="s">
        <v>9</v>
      </c>
      <c r="NM14" t="s">
        <v>9</v>
      </c>
      <c r="NN14" s="3"/>
      <c r="NO14" t="s">
        <v>9</v>
      </c>
      <c r="NP14" t="s">
        <v>9</v>
      </c>
      <c r="NQ14" t="s">
        <v>9</v>
      </c>
      <c r="NR14" s="2">
        <v>0</v>
      </c>
      <c r="NS14" t="s">
        <v>9</v>
      </c>
      <c r="NT14" t="s">
        <v>9</v>
      </c>
      <c r="NU14" t="s">
        <v>9</v>
      </c>
      <c r="NV14" t="s">
        <v>9</v>
      </c>
      <c r="NW14" t="s">
        <v>9</v>
      </c>
      <c r="NX14" s="3"/>
      <c r="NY14" t="s">
        <v>9</v>
      </c>
      <c r="NZ14" t="s">
        <v>9</v>
      </c>
      <c r="OA14" t="s">
        <v>9</v>
      </c>
      <c r="OB14" t="s">
        <v>9</v>
      </c>
      <c r="OC14" t="s">
        <v>9</v>
      </c>
      <c r="OD14" t="s">
        <v>9</v>
      </c>
      <c r="OE14" t="s">
        <v>9</v>
      </c>
      <c r="OF14" s="2">
        <v>0</v>
      </c>
      <c r="OG14" s="2">
        <v>0</v>
      </c>
      <c r="OH14" s="2">
        <v>0</v>
      </c>
      <c r="OI14" t="s">
        <v>9</v>
      </c>
      <c r="OJ14" s="3"/>
      <c r="OK14" t="s">
        <v>9</v>
      </c>
      <c r="OL14" t="s">
        <v>9</v>
      </c>
      <c r="OM14" t="s">
        <v>9</v>
      </c>
      <c r="ON14" t="s">
        <v>9</v>
      </c>
      <c r="OO14" t="s">
        <v>9</v>
      </c>
      <c r="OP14" t="s">
        <v>9</v>
      </c>
      <c r="OQ14" s="2">
        <v>0</v>
      </c>
      <c r="OR14" s="2">
        <v>0</v>
      </c>
      <c r="OS14" t="s">
        <v>9</v>
      </c>
      <c r="OT14" s="2">
        <v>0</v>
      </c>
      <c r="OU14" t="s">
        <v>9</v>
      </c>
      <c r="OV14" t="s">
        <v>9</v>
      </c>
      <c r="OW14" t="s">
        <v>9</v>
      </c>
    </row>
    <row r="15" spans="1:413" x14ac:dyDescent="0.25">
      <c r="A15" t="s">
        <v>111</v>
      </c>
      <c r="B15" t="s">
        <v>24</v>
      </c>
      <c r="C15" t="s">
        <v>112</v>
      </c>
      <c r="D15" t="s">
        <v>3</v>
      </c>
      <c r="E15" t="s">
        <v>4</v>
      </c>
      <c r="F15" t="s">
        <v>5</v>
      </c>
      <c r="G15" t="s">
        <v>6</v>
      </c>
      <c r="H15" s="2">
        <v>230000</v>
      </c>
      <c r="I15" s="2">
        <v>230000</v>
      </c>
      <c r="J15" s="2">
        <v>0</v>
      </c>
      <c r="K15" s="2">
        <v>230000</v>
      </c>
      <c r="L15" t="s">
        <v>7</v>
      </c>
      <c r="M15" t="s">
        <v>8</v>
      </c>
      <c r="N15" t="s">
        <v>113</v>
      </c>
      <c r="O15" t="s">
        <v>114</v>
      </c>
      <c r="P15" t="s">
        <v>9</v>
      </c>
      <c r="Q15" t="s">
        <v>10</v>
      </c>
      <c r="R15" t="str">
        <f t="shared" si="0"/>
        <v>24430000_200000003_Sunny</v>
      </c>
      <c r="S15" t="e">
        <f>VLOOKUP(R15,[1]Sheet1!$R$2:$AX$4,33,0)</f>
        <v>#N/A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s="2">
        <v>0</v>
      </c>
      <c r="Z15" t="s">
        <v>9</v>
      </c>
      <c r="AA15" t="s">
        <v>9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t="s">
        <v>9</v>
      </c>
      <c r="AQ15" t="s">
        <v>9</v>
      </c>
      <c r="AR15" t="s">
        <v>9</v>
      </c>
      <c r="AS15" s="3"/>
      <c r="AT15" s="3"/>
      <c r="AU15" t="s">
        <v>9</v>
      </c>
      <c r="AV15" t="s">
        <v>11</v>
      </c>
      <c r="AW15" t="s">
        <v>9</v>
      </c>
      <c r="AX15" s="3">
        <v>42992</v>
      </c>
      <c r="AY15" t="s">
        <v>9</v>
      </c>
      <c r="AZ15" t="s">
        <v>9</v>
      </c>
      <c r="BA15" t="s">
        <v>9</v>
      </c>
      <c r="BB15" s="3"/>
      <c r="BC15" s="3"/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s="3">
        <v>42992</v>
      </c>
      <c r="BS15" s="3">
        <v>42992</v>
      </c>
      <c r="BT15" t="s">
        <v>9</v>
      </c>
      <c r="BU15" s="2">
        <v>0</v>
      </c>
      <c r="BV15" t="s">
        <v>9</v>
      </c>
      <c r="BW15" s="2">
        <v>0</v>
      </c>
      <c r="BX15" s="2">
        <v>0</v>
      </c>
      <c r="BY15" s="2">
        <v>0</v>
      </c>
      <c r="BZ15" s="2">
        <v>230000</v>
      </c>
      <c r="CA15" t="s">
        <v>9</v>
      </c>
      <c r="CB15" t="s">
        <v>9</v>
      </c>
      <c r="CC15" s="3"/>
      <c r="CD15" t="s">
        <v>9</v>
      </c>
      <c r="CE15" s="3"/>
      <c r="CF15" t="s">
        <v>9</v>
      </c>
      <c r="CG15" s="4">
        <v>0</v>
      </c>
      <c r="CH15" t="s">
        <v>9</v>
      </c>
      <c r="CI15" t="s">
        <v>12</v>
      </c>
      <c r="CJ15" t="s">
        <v>13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111</v>
      </c>
      <c r="CR15" t="s">
        <v>9</v>
      </c>
      <c r="CS15" t="s">
        <v>9</v>
      </c>
      <c r="CT15" t="s">
        <v>13</v>
      </c>
      <c r="CU15" s="2">
        <v>230000</v>
      </c>
      <c r="CV15" t="s">
        <v>111</v>
      </c>
      <c r="CW15" t="s">
        <v>7</v>
      </c>
      <c r="CX15" t="s">
        <v>9</v>
      </c>
      <c r="CY15" t="s">
        <v>9</v>
      </c>
      <c r="CZ15" t="s">
        <v>114</v>
      </c>
      <c r="DA15" s="3"/>
      <c r="DB15" t="s">
        <v>9</v>
      </c>
      <c r="DC15" s="3"/>
      <c r="DD15" s="4">
        <v>0</v>
      </c>
      <c r="DE15" s="4">
        <v>0</v>
      </c>
      <c r="DF15" s="4">
        <v>0</v>
      </c>
      <c r="DG15" s="4">
        <v>0</v>
      </c>
      <c r="DH15" t="s">
        <v>9</v>
      </c>
      <c r="DI15" t="s">
        <v>9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5">
        <v>0</v>
      </c>
      <c r="DQ15" s="5">
        <v>0</v>
      </c>
      <c r="DR15" t="s">
        <v>13</v>
      </c>
      <c r="DS15" t="s">
        <v>9</v>
      </c>
      <c r="DT15" t="s">
        <v>9</v>
      </c>
      <c r="DU15" s="3">
        <v>42992</v>
      </c>
      <c r="DV15" t="s">
        <v>13</v>
      </c>
      <c r="DW15" t="s">
        <v>13</v>
      </c>
      <c r="DX15" t="s">
        <v>9</v>
      </c>
      <c r="DY15" t="s">
        <v>16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13</v>
      </c>
      <c r="EF15" t="s">
        <v>9</v>
      </c>
      <c r="EG15" t="s">
        <v>9</v>
      </c>
      <c r="EH15" t="s">
        <v>9</v>
      </c>
      <c r="EI15" t="s">
        <v>9</v>
      </c>
      <c r="EJ15" s="5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s="2">
        <v>0</v>
      </c>
      <c r="EZ15" s="2">
        <v>0</v>
      </c>
      <c r="FA15" t="s">
        <v>9</v>
      </c>
      <c r="FB15" t="s">
        <v>9</v>
      </c>
      <c r="FC15" t="s">
        <v>9</v>
      </c>
      <c r="FD15" s="2">
        <v>0</v>
      </c>
      <c r="FE15" s="2">
        <v>0</v>
      </c>
      <c r="FF15" s="2">
        <v>0</v>
      </c>
      <c r="FG15" t="s">
        <v>13</v>
      </c>
      <c r="FH15" t="s">
        <v>9</v>
      </c>
      <c r="FI15" t="s">
        <v>9</v>
      </c>
      <c r="FJ15" t="s">
        <v>9</v>
      </c>
      <c r="FK15" t="s">
        <v>9</v>
      </c>
      <c r="FL15" t="s">
        <v>93</v>
      </c>
      <c r="FM15" t="s">
        <v>9</v>
      </c>
      <c r="FN15" t="s">
        <v>13</v>
      </c>
      <c r="FO15" t="s">
        <v>13</v>
      </c>
      <c r="FP15" t="s">
        <v>9</v>
      </c>
      <c r="FQ15" t="s">
        <v>9</v>
      </c>
      <c r="FR15" s="2">
        <v>0</v>
      </c>
      <c r="FS15" t="s">
        <v>9</v>
      </c>
      <c r="FT15" t="s">
        <v>9</v>
      </c>
      <c r="FU15" t="s">
        <v>9</v>
      </c>
      <c r="FV15" t="s">
        <v>9</v>
      </c>
      <c r="FW15" t="s">
        <v>9</v>
      </c>
      <c r="FX15" s="3"/>
      <c r="FY15" s="3"/>
      <c r="FZ15" s="5">
        <v>0</v>
      </c>
      <c r="GA15" s="5">
        <v>0</v>
      </c>
      <c r="GB15" s="2">
        <v>0</v>
      </c>
      <c r="GC15" s="2">
        <v>0</v>
      </c>
      <c r="GD15" t="s">
        <v>10</v>
      </c>
      <c r="GE15" t="s">
        <v>18</v>
      </c>
      <c r="GF15" t="s">
        <v>9</v>
      </c>
      <c r="GG15" t="s">
        <v>9</v>
      </c>
      <c r="GH15" t="s">
        <v>13</v>
      </c>
      <c r="GI15" t="s">
        <v>9</v>
      </c>
      <c r="GJ15" t="s">
        <v>9</v>
      </c>
      <c r="GK15" s="2">
        <v>0</v>
      </c>
      <c r="GL15" s="2">
        <v>0</v>
      </c>
      <c r="GM15" t="s">
        <v>9</v>
      </c>
      <c r="GN15" t="s">
        <v>9</v>
      </c>
      <c r="GO15" t="s">
        <v>9</v>
      </c>
      <c r="GP15" s="3"/>
      <c r="GQ15" t="s">
        <v>9</v>
      </c>
      <c r="GR15" t="s">
        <v>9</v>
      </c>
      <c r="GS15" t="s">
        <v>9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13</v>
      </c>
      <c r="GZ15" t="s">
        <v>13</v>
      </c>
      <c r="HA15" t="s">
        <v>13</v>
      </c>
      <c r="HB15" t="s">
        <v>13</v>
      </c>
      <c r="HC15" s="3"/>
      <c r="HD15" t="s">
        <v>9</v>
      </c>
      <c r="HE15" t="s">
        <v>9</v>
      </c>
      <c r="HF15" t="s">
        <v>9</v>
      </c>
      <c r="HG15" t="s">
        <v>13</v>
      </c>
      <c r="HH15" t="s">
        <v>9</v>
      </c>
      <c r="HI15" s="2">
        <v>0</v>
      </c>
      <c r="HJ15" s="2">
        <v>0</v>
      </c>
      <c r="HK15" t="s">
        <v>9</v>
      </c>
      <c r="HL15" t="s">
        <v>13</v>
      </c>
      <c r="HM15" t="s">
        <v>13</v>
      </c>
      <c r="HN15" t="s">
        <v>9</v>
      </c>
      <c r="HO15" s="3"/>
      <c r="HP15" s="3"/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t="s">
        <v>9</v>
      </c>
      <c r="IC15" t="s">
        <v>13</v>
      </c>
      <c r="ID15" t="s">
        <v>9</v>
      </c>
      <c r="IE15" t="s">
        <v>11</v>
      </c>
      <c r="IF15" t="s">
        <v>9</v>
      </c>
      <c r="IG15" t="s">
        <v>9</v>
      </c>
      <c r="IH15" t="s">
        <v>7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s="3">
        <v>42992</v>
      </c>
      <c r="IT15" t="s">
        <v>9</v>
      </c>
      <c r="IU15" t="s">
        <v>9</v>
      </c>
      <c r="IV15" s="2">
        <v>0</v>
      </c>
      <c r="IW15" s="2">
        <v>0</v>
      </c>
      <c r="IX15" s="2">
        <v>0</v>
      </c>
      <c r="IY15" t="s">
        <v>9</v>
      </c>
      <c r="IZ15" t="s">
        <v>115</v>
      </c>
      <c r="JA15" t="s">
        <v>9</v>
      </c>
      <c r="JB15" t="s">
        <v>9</v>
      </c>
      <c r="JC15" t="s">
        <v>9</v>
      </c>
      <c r="JD15" s="2">
        <v>0</v>
      </c>
      <c r="JE15" s="2">
        <v>0</v>
      </c>
      <c r="JF15" t="s">
        <v>9</v>
      </c>
      <c r="JG15" t="s">
        <v>11</v>
      </c>
      <c r="JH15" s="6">
        <v>0</v>
      </c>
      <c r="JI15" t="s">
        <v>9</v>
      </c>
      <c r="JJ15" t="s">
        <v>9</v>
      </c>
      <c r="JK15" t="s">
        <v>9</v>
      </c>
      <c r="JL15" t="s">
        <v>9</v>
      </c>
      <c r="JM15" t="s">
        <v>13</v>
      </c>
      <c r="JN15" s="2">
        <v>0</v>
      </c>
      <c r="JO15" s="2">
        <v>0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s="2">
        <v>0</v>
      </c>
      <c r="KB15" t="s">
        <v>9</v>
      </c>
      <c r="KC15" t="s">
        <v>13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0</v>
      </c>
      <c r="KL15" t="s">
        <v>9</v>
      </c>
      <c r="KM15" s="2">
        <v>0</v>
      </c>
      <c r="KN15" s="2">
        <v>0</v>
      </c>
      <c r="KO15" s="2">
        <v>0</v>
      </c>
      <c r="KP15" s="2">
        <v>0</v>
      </c>
      <c r="KQ15" t="s">
        <v>13</v>
      </c>
      <c r="KR15" s="2">
        <v>0</v>
      </c>
      <c r="KS15" t="s">
        <v>13</v>
      </c>
      <c r="KT15" s="2">
        <v>230000</v>
      </c>
      <c r="KU15" s="3">
        <v>42992</v>
      </c>
      <c r="KV15" t="s">
        <v>116</v>
      </c>
      <c r="KW15" t="s">
        <v>97</v>
      </c>
      <c r="KX15" t="s">
        <v>9</v>
      </c>
      <c r="KY15" s="2">
        <v>0</v>
      </c>
      <c r="KZ15" t="s">
        <v>9</v>
      </c>
      <c r="LA15" t="s">
        <v>9</v>
      </c>
      <c r="LB15" t="s">
        <v>3</v>
      </c>
      <c r="LC15" t="s">
        <v>9</v>
      </c>
      <c r="LD15" s="3">
        <v>42992</v>
      </c>
      <c r="LE15" t="s">
        <v>40</v>
      </c>
      <c r="LF15" t="s">
        <v>9</v>
      </c>
      <c r="LG15" s="2">
        <v>0</v>
      </c>
      <c r="LH15" s="2">
        <v>0</v>
      </c>
      <c r="LI15" t="s">
        <v>9</v>
      </c>
      <c r="LJ15" s="4">
        <v>0</v>
      </c>
      <c r="LK15" s="3"/>
      <c r="LL15" t="s">
        <v>13</v>
      </c>
      <c r="LM15" t="s">
        <v>9</v>
      </c>
      <c r="LN15" t="s">
        <v>9</v>
      </c>
      <c r="LO15" s="5">
        <v>0</v>
      </c>
      <c r="LP15" s="5">
        <v>0</v>
      </c>
      <c r="LQ15" s="5">
        <v>0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s="3"/>
      <c r="LY15" t="s">
        <v>9</v>
      </c>
      <c r="LZ15" t="s">
        <v>9</v>
      </c>
      <c r="MA15" t="s">
        <v>9</v>
      </c>
      <c r="MB15" t="s">
        <v>22</v>
      </c>
      <c r="MC15" s="3"/>
      <c r="MD15" t="s">
        <v>9</v>
      </c>
      <c r="ME15" t="s">
        <v>9</v>
      </c>
      <c r="MF15" t="s">
        <v>13</v>
      </c>
      <c r="MG15" t="s">
        <v>11</v>
      </c>
      <c r="MH15" t="s">
        <v>9</v>
      </c>
      <c r="MI15" t="s">
        <v>13</v>
      </c>
      <c r="MJ15" t="s">
        <v>9</v>
      </c>
      <c r="MK15" t="s">
        <v>9</v>
      </c>
      <c r="ML15" t="s">
        <v>9</v>
      </c>
      <c r="MM15" t="s">
        <v>13</v>
      </c>
      <c r="MN15" t="s">
        <v>13</v>
      </c>
      <c r="MO15" t="s">
        <v>9</v>
      </c>
      <c r="MP15" t="s">
        <v>9</v>
      </c>
      <c r="MQ15" t="s">
        <v>13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s="2">
        <v>0</v>
      </c>
      <c r="MX15" t="s">
        <v>9</v>
      </c>
      <c r="MY15" t="s">
        <v>9</v>
      </c>
      <c r="MZ15" t="s">
        <v>13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13</v>
      </c>
      <c r="NG15" s="2">
        <v>0</v>
      </c>
      <c r="NH15" s="2">
        <v>0</v>
      </c>
      <c r="NI15" t="s">
        <v>117</v>
      </c>
      <c r="NJ15" t="s">
        <v>9</v>
      </c>
      <c r="NK15" t="s">
        <v>9</v>
      </c>
      <c r="NL15" t="s">
        <v>9</v>
      </c>
      <c r="NM15" t="s">
        <v>9</v>
      </c>
      <c r="NN15" s="3"/>
      <c r="NO15" t="s">
        <v>9</v>
      </c>
      <c r="NP15" t="s">
        <v>9</v>
      </c>
      <c r="NQ15" t="s">
        <v>9</v>
      </c>
      <c r="NR15" s="2">
        <v>0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s="3"/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s="2">
        <v>0</v>
      </c>
      <c r="OG15" s="2">
        <v>0</v>
      </c>
      <c r="OH15" s="2">
        <v>0</v>
      </c>
      <c r="OI15" t="s">
        <v>9</v>
      </c>
      <c r="OJ15" s="3"/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s="2">
        <v>0</v>
      </c>
      <c r="OR15" s="2">
        <v>0</v>
      </c>
      <c r="OS15" t="s">
        <v>9</v>
      </c>
      <c r="OT15" s="2">
        <v>0</v>
      </c>
      <c r="OU15" t="s">
        <v>9</v>
      </c>
      <c r="OV15" t="s">
        <v>9</v>
      </c>
      <c r="OW15" t="s">
        <v>9</v>
      </c>
    </row>
    <row r="16" spans="1:413" x14ac:dyDescent="0.25">
      <c r="A16" t="s">
        <v>111</v>
      </c>
      <c r="B16" t="s">
        <v>24</v>
      </c>
      <c r="C16" t="s">
        <v>54</v>
      </c>
      <c r="D16" t="s">
        <v>3</v>
      </c>
      <c r="E16" t="s">
        <v>4</v>
      </c>
      <c r="F16" t="s">
        <v>5</v>
      </c>
      <c r="G16" t="s">
        <v>6</v>
      </c>
      <c r="H16" s="2">
        <v>100000</v>
      </c>
      <c r="I16" s="2">
        <v>100000</v>
      </c>
      <c r="J16" s="2">
        <v>0</v>
      </c>
      <c r="K16" s="2">
        <v>100000</v>
      </c>
      <c r="L16" t="s">
        <v>7</v>
      </c>
      <c r="M16" t="s">
        <v>8</v>
      </c>
      <c r="N16" t="s">
        <v>9</v>
      </c>
      <c r="O16" t="s">
        <v>119</v>
      </c>
      <c r="P16" t="s">
        <v>9</v>
      </c>
      <c r="Q16" t="s">
        <v>10</v>
      </c>
      <c r="R16" t="str">
        <f t="shared" si="0"/>
        <v>24430000_10_Sunny</v>
      </c>
      <c r="S16" t="e">
        <f>VLOOKUP(R16,[1]Sheet1!$R$2:$AX$4,33,0)</f>
        <v>#N/A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s="2">
        <v>0</v>
      </c>
      <c r="Z16" t="s">
        <v>9</v>
      </c>
      <c r="AA16" t="s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t="s">
        <v>9</v>
      </c>
      <c r="AQ16" t="s">
        <v>9</v>
      </c>
      <c r="AR16" t="s">
        <v>9</v>
      </c>
      <c r="AS16" s="3"/>
      <c r="AT16" s="3"/>
      <c r="AU16" t="s">
        <v>9</v>
      </c>
      <c r="AV16" t="s">
        <v>11</v>
      </c>
      <c r="AW16" t="s">
        <v>9</v>
      </c>
      <c r="AX16" s="3">
        <v>43296</v>
      </c>
      <c r="AY16" t="s">
        <v>9</v>
      </c>
      <c r="AZ16" t="s">
        <v>9</v>
      </c>
      <c r="BA16" t="s">
        <v>9</v>
      </c>
      <c r="BB16" s="3"/>
      <c r="BC16" s="3"/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s="3">
        <v>43326</v>
      </c>
      <c r="BS16" s="3">
        <v>43326</v>
      </c>
      <c r="BT16" t="s">
        <v>9</v>
      </c>
      <c r="BU16" s="2">
        <v>0</v>
      </c>
      <c r="BV16" t="s">
        <v>9</v>
      </c>
      <c r="BW16" s="2">
        <v>0</v>
      </c>
      <c r="BX16" s="2">
        <v>0</v>
      </c>
      <c r="BY16" s="2">
        <v>0</v>
      </c>
      <c r="BZ16" s="2">
        <v>100000</v>
      </c>
      <c r="CA16" t="s">
        <v>9</v>
      </c>
      <c r="CB16" t="s">
        <v>9</v>
      </c>
      <c r="CC16" s="3">
        <v>43244</v>
      </c>
      <c r="CD16" t="s">
        <v>118</v>
      </c>
      <c r="CE16" s="3">
        <v>43244</v>
      </c>
      <c r="CF16" t="s">
        <v>54</v>
      </c>
      <c r="CG16" s="4">
        <v>1</v>
      </c>
      <c r="CH16" t="s">
        <v>9</v>
      </c>
      <c r="CI16" t="s">
        <v>12</v>
      </c>
      <c r="CJ16" t="s">
        <v>13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111</v>
      </c>
      <c r="CR16" t="s">
        <v>9</v>
      </c>
      <c r="CS16" t="s">
        <v>9</v>
      </c>
      <c r="CT16" t="s">
        <v>13</v>
      </c>
      <c r="CU16" s="2">
        <v>100000</v>
      </c>
      <c r="CV16" t="s">
        <v>111</v>
      </c>
      <c r="CW16" t="s">
        <v>7</v>
      </c>
      <c r="CX16" t="s">
        <v>9</v>
      </c>
      <c r="CY16" t="s">
        <v>9</v>
      </c>
      <c r="CZ16" t="s">
        <v>119</v>
      </c>
      <c r="DA16" s="3"/>
      <c r="DB16" t="s">
        <v>9</v>
      </c>
      <c r="DC16" s="3"/>
      <c r="DD16" s="4">
        <v>30</v>
      </c>
      <c r="DE16" s="4">
        <v>0</v>
      </c>
      <c r="DF16" s="4">
        <v>0</v>
      </c>
      <c r="DG16" s="4">
        <v>0</v>
      </c>
      <c r="DH16" t="s">
        <v>9</v>
      </c>
      <c r="DI16" t="s">
        <v>9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5">
        <v>0</v>
      </c>
      <c r="DQ16" s="5">
        <v>0</v>
      </c>
      <c r="DR16" t="s">
        <v>13</v>
      </c>
      <c r="DS16" t="s">
        <v>9</v>
      </c>
      <c r="DT16" t="s">
        <v>9</v>
      </c>
      <c r="DU16" s="3">
        <v>43244</v>
      </c>
      <c r="DV16" t="s">
        <v>13</v>
      </c>
      <c r="DW16" t="s">
        <v>13</v>
      </c>
      <c r="DX16" t="s">
        <v>9</v>
      </c>
      <c r="DY16" t="s">
        <v>16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13</v>
      </c>
      <c r="EF16" t="s">
        <v>9</v>
      </c>
      <c r="EG16" t="s">
        <v>9</v>
      </c>
      <c r="EH16" t="s">
        <v>9</v>
      </c>
      <c r="EI16" t="s">
        <v>9</v>
      </c>
      <c r="EJ16" s="5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s="2">
        <v>0</v>
      </c>
      <c r="EZ16" s="2">
        <v>0</v>
      </c>
      <c r="FA16" t="s">
        <v>9</v>
      </c>
      <c r="FB16" t="s">
        <v>9</v>
      </c>
      <c r="FC16" t="s">
        <v>9</v>
      </c>
      <c r="FD16" s="2">
        <v>0</v>
      </c>
      <c r="FE16" s="2">
        <v>0</v>
      </c>
      <c r="FF16" s="2">
        <v>0</v>
      </c>
      <c r="FG16" t="s">
        <v>13</v>
      </c>
      <c r="FH16" t="s">
        <v>9</v>
      </c>
      <c r="FI16" t="s">
        <v>9</v>
      </c>
      <c r="FJ16" t="s">
        <v>9</v>
      </c>
      <c r="FK16" t="s">
        <v>9</v>
      </c>
      <c r="FL16" t="s">
        <v>93</v>
      </c>
      <c r="FM16" t="s">
        <v>9</v>
      </c>
      <c r="FN16" t="s">
        <v>13</v>
      </c>
      <c r="FO16" t="s">
        <v>13</v>
      </c>
      <c r="FP16" t="s">
        <v>9</v>
      </c>
      <c r="FQ16" t="s">
        <v>9</v>
      </c>
      <c r="FR16" s="2">
        <v>0</v>
      </c>
      <c r="FS16" t="s">
        <v>9</v>
      </c>
      <c r="FT16" t="s">
        <v>9</v>
      </c>
      <c r="FU16" t="s">
        <v>9</v>
      </c>
      <c r="FV16" t="s">
        <v>9</v>
      </c>
      <c r="FW16" t="s">
        <v>9</v>
      </c>
      <c r="FX16" s="3"/>
      <c r="FY16" s="3"/>
      <c r="FZ16" s="5">
        <v>0</v>
      </c>
      <c r="GA16" s="5">
        <v>0</v>
      </c>
      <c r="GB16" s="2">
        <v>0</v>
      </c>
      <c r="GC16" s="2">
        <v>0</v>
      </c>
      <c r="GD16" t="s">
        <v>10</v>
      </c>
      <c r="GE16" t="s">
        <v>18</v>
      </c>
      <c r="GF16" t="s">
        <v>9</v>
      </c>
      <c r="GG16" t="s">
        <v>9</v>
      </c>
      <c r="GH16" t="s">
        <v>13</v>
      </c>
      <c r="GI16" t="s">
        <v>9</v>
      </c>
      <c r="GJ16" t="s">
        <v>9</v>
      </c>
      <c r="GK16" s="2">
        <v>0</v>
      </c>
      <c r="GL16" s="2">
        <v>0</v>
      </c>
      <c r="GM16" t="s">
        <v>9</v>
      </c>
      <c r="GN16" t="s">
        <v>9</v>
      </c>
      <c r="GO16" t="s">
        <v>9</v>
      </c>
      <c r="GP16" s="3"/>
      <c r="GQ16" t="s">
        <v>9</v>
      </c>
      <c r="GR16" t="s">
        <v>9</v>
      </c>
      <c r="GS16" t="s">
        <v>9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13</v>
      </c>
      <c r="GZ16" t="s">
        <v>13</v>
      </c>
      <c r="HA16" t="s">
        <v>13</v>
      </c>
      <c r="HB16" t="s">
        <v>13</v>
      </c>
      <c r="HC16" s="3"/>
      <c r="HD16" t="s">
        <v>9</v>
      </c>
      <c r="HE16" t="s">
        <v>9</v>
      </c>
      <c r="HF16" t="s">
        <v>9</v>
      </c>
      <c r="HG16" t="s">
        <v>13</v>
      </c>
      <c r="HH16" t="s">
        <v>9</v>
      </c>
      <c r="HI16" s="2">
        <v>0</v>
      </c>
      <c r="HJ16" s="2">
        <v>0</v>
      </c>
      <c r="HK16" t="s">
        <v>9</v>
      </c>
      <c r="HL16" t="s">
        <v>13</v>
      </c>
      <c r="HM16" t="s">
        <v>13</v>
      </c>
      <c r="HN16" t="s">
        <v>9</v>
      </c>
      <c r="HO16" s="3"/>
      <c r="HP16" s="3"/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t="s">
        <v>9</v>
      </c>
      <c r="IC16" t="s">
        <v>13</v>
      </c>
      <c r="ID16" t="s">
        <v>9</v>
      </c>
      <c r="IE16" t="s">
        <v>11</v>
      </c>
      <c r="IF16" t="s">
        <v>9</v>
      </c>
      <c r="IG16" t="s">
        <v>9</v>
      </c>
      <c r="IH16" t="s">
        <v>7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s="3">
        <v>43326</v>
      </c>
      <c r="IT16" t="s">
        <v>9</v>
      </c>
      <c r="IU16" t="s">
        <v>9</v>
      </c>
      <c r="IV16" s="2">
        <v>0</v>
      </c>
      <c r="IW16" s="2">
        <v>0</v>
      </c>
      <c r="IX16" s="2">
        <v>0</v>
      </c>
      <c r="IY16" t="s">
        <v>9</v>
      </c>
      <c r="IZ16" t="s">
        <v>120</v>
      </c>
      <c r="JA16" t="s">
        <v>121</v>
      </c>
      <c r="JB16" t="s">
        <v>121</v>
      </c>
      <c r="JC16" t="s">
        <v>6</v>
      </c>
      <c r="JD16" s="2">
        <v>0</v>
      </c>
      <c r="JE16" s="2">
        <v>0</v>
      </c>
      <c r="JF16" t="s">
        <v>9</v>
      </c>
      <c r="JG16" t="s">
        <v>11</v>
      </c>
      <c r="JH16" s="6">
        <v>0</v>
      </c>
      <c r="JI16" t="s">
        <v>9</v>
      </c>
      <c r="JJ16" t="s">
        <v>9</v>
      </c>
      <c r="JK16" t="s">
        <v>9</v>
      </c>
      <c r="JL16" t="s">
        <v>9</v>
      </c>
      <c r="JM16" t="s">
        <v>13</v>
      </c>
      <c r="JN16" s="2">
        <v>0</v>
      </c>
      <c r="JO16" s="2">
        <v>0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s="2">
        <v>0</v>
      </c>
      <c r="KB16" t="s">
        <v>9</v>
      </c>
      <c r="KC16" t="s">
        <v>13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122</v>
      </c>
      <c r="KL16" t="s">
        <v>9</v>
      </c>
      <c r="KM16" s="2">
        <v>0</v>
      </c>
      <c r="KN16" s="2">
        <v>0</v>
      </c>
      <c r="KO16" s="2">
        <v>0</v>
      </c>
      <c r="KP16" s="2">
        <v>0</v>
      </c>
      <c r="KQ16" t="s">
        <v>13</v>
      </c>
      <c r="KR16" s="2">
        <v>0</v>
      </c>
      <c r="KS16" t="s">
        <v>13</v>
      </c>
      <c r="KT16" s="2">
        <v>0</v>
      </c>
      <c r="KU16" s="3"/>
      <c r="KV16" t="s">
        <v>9</v>
      </c>
      <c r="KW16" t="s">
        <v>9</v>
      </c>
      <c r="KX16" t="s">
        <v>9</v>
      </c>
      <c r="KY16" s="2">
        <v>0</v>
      </c>
      <c r="KZ16" t="s">
        <v>9</v>
      </c>
      <c r="LA16" t="s">
        <v>9</v>
      </c>
      <c r="LB16" t="s">
        <v>3</v>
      </c>
      <c r="LC16" t="s">
        <v>9</v>
      </c>
      <c r="LD16" s="3">
        <v>43244</v>
      </c>
      <c r="LE16" t="s">
        <v>123</v>
      </c>
      <c r="LF16" t="s">
        <v>9</v>
      </c>
      <c r="LG16" s="2">
        <v>0</v>
      </c>
      <c r="LH16" s="2">
        <v>0</v>
      </c>
      <c r="LI16" t="s">
        <v>9</v>
      </c>
      <c r="LJ16" s="4">
        <v>0</v>
      </c>
      <c r="LK16" s="3"/>
      <c r="LL16" t="s">
        <v>13</v>
      </c>
      <c r="LM16" t="s">
        <v>9</v>
      </c>
      <c r="LN16" t="s">
        <v>9</v>
      </c>
      <c r="LO16" s="5">
        <v>0</v>
      </c>
      <c r="LP16" s="5">
        <v>0</v>
      </c>
      <c r="LQ16" s="5">
        <v>0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s="3"/>
      <c r="LY16" t="s">
        <v>9</v>
      </c>
      <c r="LZ16" t="s">
        <v>9</v>
      </c>
      <c r="MA16" t="s">
        <v>9</v>
      </c>
      <c r="MB16" t="s">
        <v>22</v>
      </c>
      <c r="MC16" s="3"/>
      <c r="MD16" t="s">
        <v>11</v>
      </c>
      <c r="ME16" t="s">
        <v>9</v>
      </c>
      <c r="MF16" t="s">
        <v>13</v>
      </c>
      <c r="MG16" t="s">
        <v>11</v>
      </c>
      <c r="MH16" t="s">
        <v>9</v>
      </c>
      <c r="MI16" t="s">
        <v>13</v>
      </c>
      <c r="MJ16" t="s">
        <v>9</v>
      </c>
      <c r="MK16" t="s">
        <v>9</v>
      </c>
      <c r="ML16" t="s">
        <v>9</v>
      </c>
      <c r="MM16" t="s">
        <v>13</v>
      </c>
      <c r="MN16" t="s">
        <v>13</v>
      </c>
      <c r="MO16" t="s">
        <v>9</v>
      </c>
      <c r="MP16" t="s">
        <v>9</v>
      </c>
      <c r="MQ16" t="s">
        <v>13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s="2">
        <v>0</v>
      </c>
      <c r="MX16" t="s">
        <v>9</v>
      </c>
      <c r="MY16" t="s">
        <v>9</v>
      </c>
      <c r="MZ16" t="s">
        <v>13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13</v>
      </c>
      <c r="NG16" s="2">
        <v>0</v>
      </c>
      <c r="NH16" s="2">
        <v>0</v>
      </c>
      <c r="NI16" t="s">
        <v>23</v>
      </c>
      <c r="NJ16" t="s">
        <v>9</v>
      </c>
      <c r="NK16" t="s">
        <v>9</v>
      </c>
      <c r="NL16" t="s">
        <v>9</v>
      </c>
      <c r="NM16" t="s">
        <v>9</v>
      </c>
      <c r="NN16" s="3"/>
      <c r="NO16" t="s">
        <v>9</v>
      </c>
      <c r="NP16" t="s">
        <v>9</v>
      </c>
      <c r="NQ16" t="s">
        <v>9</v>
      </c>
      <c r="NR16" s="2">
        <v>0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s="3"/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s="2">
        <v>0</v>
      </c>
      <c r="OG16" s="2">
        <v>0</v>
      </c>
      <c r="OH16" s="2">
        <v>0</v>
      </c>
      <c r="OI16" t="s">
        <v>9</v>
      </c>
      <c r="OJ16" s="3"/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s="2">
        <v>0</v>
      </c>
      <c r="OR16" s="2">
        <v>0</v>
      </c>
      <c r="OS16" t="s">
        <v>9</v>
      </c>
      <c r="OT16" s="2">
        <v>0</v>
      </c>
      <c r="OU16" t="s">
        <v>9</v>
      </c>
      <c r="OV16" t="s">
        <v>9</v>
      </c>
      <c r="OW16" t="s">
        <v>9</v>
      </c>
    </row>
    <row r="17" spans="1:413" x14ac:dyDescent="0.25">
      <c r="A17" t="s">
        <v>111</v>
      </c>
      <c r="B17" t="s">
        <v>24</v>
      </c>
      <c r="C17" t="s">
        <v>99</v>
      </c>
      <c r="D17" t="s">
        <v>3</v>
      </c>
      <c r="E17" t="s">
        <v>4</v>
      </c>
      <c r="F17" t="s">
        <v>5</v>
      </c>
      <c r="G17" t="s">
        <v>6</v>
      </c>
      <c r="H17" s="2">
        <v>10000</v>
      </c>
      <c r="I17" s="2">
        <v>10000</v>
      </c>
      <c r="J17" s="2">
        <v>0</v>
      </c>
      <c r="K17" s="2">
        <v>10000</v>
      </c>
      <c r="L17" t="s">
        <v>7</v>
      </c>
      <c r="M17" t="s">
        <v>9</v>
      </c>
      <c r="N17" t="s">
        <v>124</v>
      </c>
      <c r="O17" t="s">
        <v>125</v>
      </c>
      <c r="P17" t="s">
        <v>9</v>
      </c>
      <c r="Q17" t="s">
        <v>10</v>
      </c>
      <c r="R17" t="str">
        <f t="shared" si="0"/>
        <v>24430000_165_Sunny</v>
      </c>
      <c r="S17">
        <f>VLOOKUP(R17,[1]Sheet1!$R$2:$AX$4,33,0)</f>
        <v>44584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s="2">
        <v>0</v>
      </c>
      <c r="Z17" t="s">
        <v>9</v>
      </c>
      <c r="AA17" t="s">
        <v>9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t="s">
        <v>9</v>
      </c>
      <c r="AQ17" t="s">
        <v>9</v>
      </c>
      <c r="AR17" t="s">
        <v>9</v>
      </c>
      <c r="AS17" s="3"/>
      <c r="AT17" s="3"/>
      <c r="AU17" t="s">
        <v>9</v>
      </c>
      <c r="AV17" t="s">
        <v>11</v>
      </c>
      <c r="AW17" t="s">
        <v>9</v>
      </c>
      <c r="AX17" s="3">
        <v>43998</v>
      </c>
      <c r="AY17" t="s">
        <v>9</v>
      </c>
      <c r="AZ17" t="s">
        <v>9</v>
      </c>
      <c r="BA17" t="s">
        <v>9</v>
      </c>
      <c r="BB17" s="3"/>
      <c r="BC17" s="3"/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s="3">
        <v>43998</v>
      </c>
      <c r="BS17" s="3">
        <v>43998</v>
      </c>
      <c r="BT17" t="s">
        <v>9</v>
      </c>
      <c r="BU17" s="2">
        <v>0</v>
      </c>
      <c r="BV17" t="s">
        <v>9</v>
      </c>
      <c r="BW17" s="2">
        <v>0</v>
      </c>
      <c r="BX17" s="2">
        <v>0</v>
      </c>
      <c r="BY17" s="2">
        <v>0</v>
      </c>
      <c r="BZ17" s="2">
        <v>10000</v>
      </c>
      <c r="CA17" t="s">
        <v>9</v>
      </c>
      <c r="CB17" t="s">
        <v>9</v>
      </c>
      <c r="CC17" s="3"/>
      <c r="CD17" t="s">
        <v>9</v>
      </c>
      <c r="CE17" s="3"/>
      <c r="CF17" t="s">
        <v>9</v>
      </c>
      <c r="CG17" s="4">
        <v>0</v>
      </c>
      <c r="CH17" t="s">
        <v>9</v>
      </c>
      <c r="CI17" t="s">
        <v>12</v>
      </c>
      <c r="CJ17" t="s">
        <v>13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111</v>
      </c>
      <c r="CR17" t="s">
        <v>9</v>
      </c>
      <c r="CS17" t="s">
        <v>9</v>
      </c>
      <c r="CT17" t="s">
        <v>13</v>
      </c>
      <c r="CU17" s="2">
        <v>10000</v>
      </c>
      <c r="CV17" t="s">
        <v>111</v>
      </c>
      <c r="CW17" t="s">
        <v>7</v>
      </c>
      <c r="CX17" t="s">
        <v>9</v>
      </c>
      <c r="CY17" t="s">
        <v>9</v>
      </c>
      <c r="CZ17" t="s">
        <v>125</v>
      </c>
      <c r="DA17" s="3"/>
      <c r="DB17" t="s">
        <v>9</v>
      </c>
      <c r="DC17" s="3"/>
      <c r="DD17" s="4">
        <v>0</v>
      </c>
      <c r="DE17" s="4">
        <v>0</v>
      </c>
      <c r="DF17" s="4">
        <v>0</v>
      </c>
      <c r="DG17" s="4">
        <v>0</v>
      </c>
      <c r="DH17" t="s">
        <v>9</v>
      </c>
      <c r="DI17" t="s">
        <v>9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5">
        <v>0</v>
      </c>
      <c r="DQ17" s="5">
        <v>0</v>
      </c>
      <c r="DR17" t="s">
        <v>13</v>
      </c>
      <c r="DS17" t="s">
        <v>9</v>
      </c>
      <c r="DT17" t="s">
        <v>9</v>
      </c>
      <c r="DU17" s="3">
        <v>43998</v>
      </c>
      <c r="DV17" t="s">
        <v>13</v>
      </c>
      <c r="DW17" t="s">
        <v>13</v>
      </c>
      <c r="DX17" t="s">
        <v>9</v>
      </c>
      <c r="DY17" t="s">
        <v>16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13</v>
      </c>
      <c r="EF17" t="s">
        <v>9</v>
      </c>
      <c r="EG17" t="s">
        <v>9</v>
      </c>
      <c r="EH17" t="s">
        <v>9</v>
      </c>
      <c r="EI17" t="s">
        <v>9</v>
      </c>
      <c r="EJ17" s="5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s="2">
        <v>0</v>
      </c>
      <c r="EZ17" s="2">
        <v>0</v>
      </c>
      <c r="FA17" t="s">
        <v>9</v>
      </c>
      <c r="FB17" t="s">
        <v>9</v>
      </c>
      <c r="FC17" t="s">
        <v>9</v>
      </c>
      <c r="FD17" s="2">
        <v>0</v>
      </c>
      <c r="FE17" s="2">
        <v>0</v>
      </c>
      <c r="FF17" s="2">
        <v>0</v>
      </c>
      <c r="FG17" t="s">
        <v>13</v>
      </c>
      <c r="FH17" t="s">
        <v>9</v>
      </c>
      <c r="FI17" t="s">
        <v>9</v>
      </c>
      <c r="FJ17" t="s">
        <v>9</v>
      </c>
      <c r="FK17" t="s">
        <v>9</v>
      </c>
      <c r="FL17" t="s">
        <v>93</v>
      </c>
      <c r="FM17" t="s">
        <v>9</v>
      </c>
      <c r="FN17" t="s">
        <v>13</v>
      </c>
      <c r="FO17" t="s">
        <v>13</v>
      </c>
      <c r="FP17" t="s">
        <v>9</v>
      </c>
      <c r="FQ17" t="s">
        <v>9</v>
      </c>
      <c r="FR17" s="2">
        <v>0</v>
      </c>
      <c r="FS17" t="s">
        <v>9</v>
      </c>
      <c r="FT17" t="s">
        <v>9</v>
      </c>
      <c r="FU17" t="s">
        <v>9</v>
      </c>
      <c r="FV17" t="s">
        <v>9</v>
      </c>
      <c r="FW17" t="s">
        <v>9</v>
      </c>
      <c r="FX17" s="3"/>
      <c r="FY17" s="3"/>
      <c r="FZ17" s="5">
        <v>0</v>
      </c>
      <c r="GA17" s="5">
        <v>0</v>
      </c>
      <c r="GB17" s="2">
        <v>0</v>
      </c>
      <c r="GC17" s="2">
        <v>0</v>
      </c>
      <c r="GD17" t="s">
        <v>10</v>
      </c>
      <c r="GE17" t="s">
        <v>18</v>
      </c>
      <c r="GF17" t="s">
        <v>9</v>
      </c>
      <c r="GG17" t="s">
        <v>9</v>
      </c>
      <c r="GH17" t="s">
        <v>13</v>
      </c>
      <c r="GI17" t="s">
        <v>9</v>
      </c>
      <c r="GJ17" t="s">
        <v>9</v>
      </c>
      <c r="GK17" s="2">
        <v>0</v>
      </c>
      <c r="GL17" s="2">
        <v>0</v>
      </c>
      <c r="GM17" t="s">
        <v>9</v>
      </c>
      <c r="GN17" t="s">
        <v>9</v>
      </c>
      <c r="GO17" t="s">
        <v>9</v>
      </c>
      <c r="GP17" s="3"/>
      <c r="GQ17" t="s">
        <v>9</v>
      </c>
      <c r="GR17" t="s">
        <v>9</v>
      </c>
      <c r="GS17" t="s">
        <v>9</v>
      </c>
      <c r="GT17" t="s">
        <v>9</v>
      </c>
      <c r="GU17" t="s">
        <v>11</v>
      </c>
      <c r="GV17" t="s">
        <v>9</v>
      </c>
      <c r="GW17" t="s">
        <v>9</v>
      </c>
      <c r="GX17" t="s">
        <v>9</v>
      </c>
      <c r="GY17" t="s">
        <v>13</v>
      </c>
      <c r="GZ17" t="s">
        <v>13</v>
      </c>
      <c r="HA17" t="s">
        <v>13</v>
      </c>
      <c r="HB17" t="s">
        <v>13</v>
      </c>
      <c r="HC17" s="3"/>
      <c r="HD17" t="s">
        <v>9</v>
      </c>
      <c r="HE17" t="s">
        <v>9</v>
      </c>
      <c r="HF17" t="s">
        <v>9</v>
      </c>
      <c r="HG17" t="s">
        <v>13</v>
      </c>
      <c r="HH17" t="s">
        <v>9</v>
      </c>
      <c r="HI17" s="2">
        <v>0</v>
      </c>
      <c r="HJ17" s="2">
        <v>0</v>
      </c>
      <c r="HK17" t="s">
        <v>9</v>
      </c>
      <c r="HL17" t="s">
        <v>13</v>
      </c>
      <c r="HM17" t="s">
        <v>13</v>
      </c>
      <c r="HN17" t="s">
        <v>9</v>
      </c>
      <c r="HO17" s="3"/>
      <c r="HP17" s="3"/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t="s">
        <v>9</v>
      </c>
      <c r="IC17" t="s">
        <v>13</v>
      </c>
      <c r="ID17" t="s">
        <v>9</v>
      </c>
      <c r="IE17" t="s">
        <v>11</v>
      </c>
      <c r="IF17" t="s">
        <v>9</v>
      </c>
      <c r="IG17" t="s">
        <v>9</v>
      </c>
      <c r="IH17" t="s">
        <v>7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s="3">
        <v>43998</v>
      </c>
      <c r="IT17" t="s">
        <v>9</v>
      </c>
      <c r="IU17" t="s">
        <v>9</v>
      </c>
      <c r="IV17" s="2">
        <v>0</v>
      </c>
      <c r="IW17" s="2">
        <v>0</v>
      </c>
      <c r="IX17" s="2">
        <v>0</v>
      </c>
      <c r="IY17" t="s">
        <v>9</v>
      </c>
      <c r="IZ17" t="s">
        <v>126</v>
      </c>
      <c r="JA17" t="s">
        <v>127</v>
      </c>
      <c r="JB17" t="s">
        <v>127</v>
      </c>
      <c r="JC17" t="s">
        <v>6</v>
      </c>
      <c r="JD17" s="2">
        <v>0</v>
      </c>
      <c r="JE17" s="2">
        <v>0</v>
      </c>
      <c r="JF17" t="s">
        <v>9</v>
      </c>
      <c r="JG17" t="s">
        <v>11</v>
      </c>
      <c r="JH17" s="6">
        <v>0</v>
      </c>
      <c r="JI17" t="s">
        <v>9</v>
      </c>
      <c r="JJ17" t="s">
        <v>9</v>
      </c>
      <c r="JK17" t="s">
        <v>9</v>
      </c>
      <c r="JL17" t="s">
        <v>9</v>
      </c>
      <c r="JM17" t="s">
        <v>13</v>
      </c>
      <c r="JN17" s="2">
        <v>0</v>
      </c>
      <c r="JO17" s="2">
        <v>0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s="2">
        <v>0</v>
      </c>
      <c r="KB17" t="s">
        <v>9</v>
      </c>
      <c r="KC17" t="s">
        <v>13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s="2">
        <v>0</v>
      </c>
      <c r="KN17" s="2">
        <v>0</v>
      </c>
      <c r="KO17" s="2">
        <v>0</v>
      </c>
      <c r="KP17" s="2">
        <v>0</v>
      </c>
      <c r="KQ17" t="s">
        <v>13</v>
      </c>
      <c r="KR17" s="2">
        <v>0</v>
      </c>
      <c r="KS17" t="s">
        <v>13</v>
      </c>
      <c r="KT17" s="2">
        <v>10000</v>
      </c>
      <c r="KU17" s="3">
        <v>43998</v>
      </c>
      <c r="KV17" t="s">
        <v>116</v>
      </c>
      <c r="KW17" t="s">
        <v>97</v>
      </c>
      <c r="KX17" t="s">
        <v>9</v>
      </c>
      <c r="KY17" s="2">
        <v>0</v>
      </c>
      <c r="KZ17" t="s">
        <v>9</v>
      </c>
      <c r="LA17" t="s">
        <v>9</v>
      </c>
      <c r="LB17" t="s">
        <v>3</v>
      </c>
      <c r="LC17" t="s">
        <v>9</v>
      </c>
      <c r="LD17" s="3">
        <v>43998</v>
      </c>
      <c r="LE17" t="s">
        <v>17</v>
      </c>
      <c r="LF17" t="s">
        <v>9</v>
      </c>
      <c r="LG17" s="2">
        <v>0</v>
      </c>
      <c r="LH17" s="2">
        <v>0</v>
      </c>
      <c r="LI17" t="s">
        <v>9</v>
      </c>
      <c r="LJ17" s="4">
        <v>0</v>
      </c>
      <c r="LK17" s="3"/>
      <c r="LL17" t="s">
        <v>13</v>
      </c>
      <c r="LM17" t="s">
        <v>9</v>
      </c>
      <c r="LN17" t="s">
        <v>9</v>
      </c>
      <c r="LO17" s="5">
        <v>0</v>
      </c>
      <c r="LP17" s="5">
        <v>0</v>
      </c>
      <c r="LQ17" s="5">
        <v>0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s="3"/>
      <c r="LY17" t="s">
        <v>9</v>
      </c>
      <c r="LZ17" t="s">
        <v>9</v>
      </c>
      <c r="MA17" t="s">
        <v>9</v>
      </c>
      <c r="MB17" t="s">
        <v>22</v>
      </c>
      <c r="MC17" s="3"/>
      <c r="MD17" t="s">
        <v>9</v>
      </c>
      <c r="ME17" t="s">
        <v>9</v>
      </c>
      <c r="MF17" t="s">
        <v>13</v>
      </c>
      <c r="MG17" t="s">
        <v>11</v>
      </c>
      <c r="MH17" t="s">
        <v>9</v>
      </c>
      <c r="MI17" t="s">
        <v>13</v>
      </c>
      <c r="MJ17" t="s">
        <v>9</v>
      </c>
      <c r="MK17" t="s">
        <v>9</v>
      </c>
      <c r="ML17" t="s">
        <v>9</v>
      </c>
      <c r="MM17" t="s">
        <v>13</v>
      </c>
      <c r="MN17" t="s">
        <v>13</v>
      </c>
      <c r="MO17" t="s">
        <v>9</v>
      </c>
      <c r="MP17" t="s">
        <v>9</v>
      </c>
      <c r="MQ17" t="s">
        <v>13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s="2">
        <v>0</v>
      </c>
      <c r="MX17" t="s">
        <v>9</v>
      </c>
      <c r="MY17" t="s">
        <v>9</v>
      </c>
      <c r="MZ17" t="s">
        <v>13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13</v>
      </c>
      <c r="NG17" s="2">
        <v>0</v>
      </c>
      <c r="NH17" s="2">
        <v>0</v>
      </c>
      <c r="NI17" t="s">
        <v>117</v>
      </c>
      <c r="NJ17" t="s">
        <v>9</v>
      </c>
      <c r="NK17" t="s">
        <v>9</v>
      </c>
      <c r="NL17" t="s">
        <v>9</v>
      </c>
      <c r="NM17" t="s">
        <v>9</v>
      </c>
      <c r="NN17" s="3"/>
      <c r="NO17" t="s">
        <v>9</v>
      </c>
      <c r="NP17" t="s">
        <v>9</v>
      </c>
      <c r="NQ17" t="s">
        <v>9</v>
      </c>
      <c r="NR17" s="2">
        <v>0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s="3"/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s="2">
        <v>0</v>
      </c>
      <c r="OG17" s="2">
        <v>0</v>
      </c>
      <c r="OH17" s="2">
        <v>0</v>
      </c>
      <c r="OI17" t="s">
        <v>9</v>
      </c>
      <c r="OJ17" s="3"/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s="2">
        <v>0</v>
      </c>
      <c r="OR17" s="2">
        <v>0</v>
      </c>
      <c r="OS17" t="s">
        <v>9</v>
      </c>
      <c r="OT17" s="2">
        <v>0</v>
      </c>
      <c r="OU17" t="s">
        <v>9</v>
      </c>
      <c r="OV17" t="s">
        <v>9</v>
      </c>
      <c r="OW17" t="s">
        <v>9</v>
      </c>
    </row>
    <row r="18" spans="1:413" x14ac:dyDescent="0.25">
      <c r="A18" t="s">
        <v>111</v>
      </c>
      <c r="B18" t="s">
        <v>24</v>
      </c>
      <c r="C18" t="s">
        <v>99</v>
      </c>
      <c r="D18" t="s">
        <v>123</v>
      </c>
      <c r="E18" t="s">
        <v>4</v>
      </c>
      <c r="F18" t="s">
        <v>5</v>
      </c>
      <c r="G18" t="s">
        <v>6</v>
      </c>
      <c r="H18" s="2">
        <v>1000</v>
      </c>
      <c r="I18" s="2">
        <v>1000</v>
      </c>
      <c r="J18" s="2">
        <v>0</v>
      </c>
      <c r="K18" s="2">
        <v>1000</v>
      </c>
      <c r="L18" t="s">
        <v>7</v>
      </c>
      <c r="M18" t="s">
        <v>9</v>
      </c>
      <c r="N18" t="s">
        <v>124</v>
      </c>
      <c r="O18" t="s">
        <v>125</v>
      </c>
      <c r="P18" t="s">
        <v>9</v>
      </c>
      <c r="Q18" t="s">
        <v>10</v>
      </c>
      <c r="R18" t="str">
        <f t="shared" si="0"/>
        <v>24430000_165_Sunny</v>
      </c>
      <c r="S18">
        <f>VLOOKUP(R18,[1]Sheet1!$R$2:$AX$4,33,0)</f>
        <v>44584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s="2">
        <v>0</v>
      </c>
      <c r="Z18" t="s">
        <v>9</v>
      </c>
      <c r="AA18" t="s">
        <v>9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t="s">
        <v>9</v>
      </c>
      <c r="AQ18" t="s">
        <v>9</v>
      </c>
      <c r="AR18" t="s">
        <v>9</v>
      </c>
      <c r="AS18" s="3"/>
      <c r="AT18" s="3"/>
      <c r="AU18" t="s">
        <v>9</v>
      </c>
      <c r="AV18" t="s">
        <v>11</v>
      </c>
      <c r="AW18" t="s">
        <v>9</v>
      </c>
      <c r="AX18" s="3">
        <v>43998</v>
      </c>
      <c r="AY18" t="s">
        <v>9</v>
      </c>
      <c r="AZ18" t="s">
        <v>9</v>
      </c>
      <c r="BA18" t="s">
        <v>9</v>
      </c>
      <c r="BB18" s="3"/>
      <c r="BC18" s="3"/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s="3">
        <v>43998</v>
      </c>
      <c r="BS18" s="3">
        <v>43998</v>
      </c>
      <c r="BT18" t="s">
        <v>9</v>
      </c>
      <c r="BU18" s="2">
        <v>0</v>
      </c>
      <c r="BV18" t="s">
        <v>9</v>
      </c>
      <c r="BW18" s="2">
        <v>0</v>
      </c>
      <c r="BX18" s="2">
        <v>0</v>
      </c>
      <c r="BY18" s="2">
        <v>0</v>
      </c>
      <c r="BZ18" s="2">
        <v>1000</v>
      </c>
      <c r="CA18" t="s">
        <v>9</v>
      </c>
      <c r="CB18" t="s">
        <v>9</v>
      </c>
      <c r="CC18" s="3"/>
      <c r="CD18" t="s">
        <v>9</v>
      </c>
      <c r="CE18" s="3"/>
      <c r="CF18" t="s">
        <v>9</v>
      </c>
      <c r="CG18" s="4">
        <v>0</v>
      </c>
      <c r="CH18" t="s">
        <v>9</v>
      </c>
      <c r="CI18" t="s">
        <v>12</v>
      </c>
      <c r="CJ18" t="s">
        <v>13</v>
      </c>
      <c r="CK18" t="s">
        <v>9</v>
      </c>
      <c r="CL18" t="s">
        <v>9</v>
      </c>
      <c r="CM18" t="s">
        <v>9</v>
      </c>
      <c r="CN18" t="s">
        <v>9</v>
      </c>
      <c r="CO18" t="s">
        <v>9</v>
      </c>
      <c r="CP18" t="s">
        <v>9</v>
      </c>
      <c r="CQ18" t="s">
        <v>111</v>
      </c>
      <c r="CR18" t="s">
        <v>9</v>
      </c>
      <c r="CS18" t="s">
        <v>9</v>
      </c>
      <c r="CT18" t="s">
        <v>13</v>
      </c>
      <c r="CU18" s="2">
        <v>1000</v>
      </c>
      <c r="CV18" t="s">
        <v>111</v>
      </c>
      <c r="CW18" t="s">
        <v>7</v>
      </c>
      <c r="CX18" t="s">
        <v>9</v>
      </c>
      <c r="CY18" t="s">
        <v>9</v>
      </c>
      <c r="CZ18" t="s">
        <v>125</v>
      </c>
      <c r="DA18" s="3"/>
      <c r="DB18" t="s">
        <v>9</v>
      </c>
      <c r="DC18" s="3"/>
      <c r="DD18" s="4">
        <v>0</v>
      </c>
      <c r="DE18" s="4">
        <v>0</v>
      </c>
      <c r="DF18" s="4">
        <v>0</v>
      </c>
      <c r="DG18" s="4">
        <v>0</v>
      </c>
      <c r="DH18" t="s">
        <v>9</v>
      </c>
      <c r="DI18" t="s">
        <v>9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5">
        <v>0</v>
      </c>
      <c r="DQ18" s="5">
        <v>0</v>
      </c>
      <c r="DR18" t="s">
        <v>13</v>
      </c>
      <c r="DS18" t="s">
        <v>9</v>
      </c>
      <c r="DT18" t="s">
        <v>9</v>
      </c>
      <c r="DU18" s="3">
        <v>43998</v>
      </c>
      <c r="DV18" t="s">
        <v>13</v>
      </c>
      <c r="DW18" t="s">
        <v>13</v>
      </c>
      <c r="DX18" t="s">
        <v>9</v>
      </c>
      <c r="DY18" t="s">
        <v>16</v>
      </c>
      <c r="DZ18" t="s">
        <v>9</v>
      </c>
      <c r="EA18" t="s">
        <v>9</v>
      </c>
      <c r="EB18" t="s">
        <v>9</v>
      </c>
      <c r="EC18" t="s">
        <v>9</v>
      </c>
      <c r="ED18" t="s">
        <v>9</v>
      </c>
      <c r="EE18" t="s">
        <v>13</v>
      </c>
      <c r="EF18" t="s">
        <v>9</v>
      </c>
      <c r="EG18" t="s">
        <v>9</v>
      </c>
      <c r="EH18" t="s">
        <v>9</v>
      </c>
      <c r="EI18" t="s">
        <v>9</v>
      </c>
      <c r="EJ18" s="5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t="s">
        <v>9</v>
      </c>
      <c r="ES18" t="s">
        <v>9</v>
      </c>
      <c r="ET18" t="s">
        <v>9</v>
      </c>
      <c r="EU18" t="s">
        <v>9</v>
      </c>
      <c r="EV18" t="s">
        <v>9</v>
      </c>
      <c r="EW18" t="s">
        <v>9</v>
      </c>
      <c r="EX18" t="s">
        <v>9</v>
      </c>
      <c r="EY18" s="2">
        <v>0</v>
      </c>
      <c r="EZ18" s="2">
        <v>0</v>
      </c>
      <c r="FA18" t="s">
        <v>9</v>
      </c>
      <c r="FB18" t="s">
        <v>9</v>
      </c>
      <c r="FC18" t="s">
        <v>9</v>
      </c>
      <c r="FD18" s="2">
        <v>0</v>
      </c>
      <c r="FE18" s="2">
        <v>0</v>
      </c>
      <c r="FF18" s="2">
        <v>0</v>
      </c>
      <c r="FG18" t="s">
        <v>13</v>
      </c>
      <c r="FH18" t="s">
        <v>9</v>
      </c>
      <c r="FI18" t="s">
        <v>9</v>
      </c>
      <c r="FJ18" t="s">
        <v>9</v>
      </c>
      <c r="FK18" t="s">
        <v>9</v>
      </c>
      <c r="FL18" t="s">
        <v>93</v>
      </c>
      <c r="FM18" t="s">
        <v>9</v>
      </c>
      <c r="FN18" t="s">
        <v>13</v>
      </c>
      <c r="FO18" t="s">
        <v>13</v>
      </c>
      <c r="FP18" t="s">
        <v>9</v>
      </c>
      <c r="FQ18" t="s">
        <v>9</v>
      </c>
      <c r="FR18" s="2">
        <v>0</v>
      </c>
      <c r="FS18" t="s">
        <v>9</v>
      </c>
      <c r="FT18" t="s">
        <v>9</v>
      </c>
      <c r="FU18" t="s">
        <v>9</v>
      </c>
      <c r="FV18" t="s">
        <v>9</v>
      </c>
      <c r="FW18" t="s">
        <v>9</v>
      </c>
      <c r="FX18" s="3"/>
      <c r="FY18" s="3"/>
      <c r="FZ18" s="5">
        <v>0</v>
      </c>
      <c r="GA18" s="5">
        <v>0</v>
      </c>
      <c r="GB18" s="2">
        <v>0</v>
      </c>
      <c r="GC18" s="2">
        <v>0</v>
      </c>
      <c r="GD18" t="s">
        <v>10</v>
      </c>
      <c r="GE18" t="s">
        <v>18</v>
      </c>
      <c r="GF18" t="s">
        <v>9</v>
      </c>
      <c r="GG18" t="s">
        <v>9</v>
      </c>
      <c r="GH18" t="s">
        <v>13</v>
      </c>
      <c r="GI18" t="s">
        <v>9</v>
      </c>
      <c r="GJ18" t="s">
        <v>9</v>
      </c>
      <c r="GK18" s="2">
        <v>0</v>
      </c>
      <c r="GL18" s="2">
        <v>0</v>
      </c>
      <c r="GM18" t="s">
        <v>9</v>
      </c>
      <c r="GN18" t="s">
        <v>9</v>
      </c>
      <c r="GO18" t="s">
        <v>9</v>
      </c>
      <c r="GP18" s="3"/>
      <c r="GQ18" t="s">
        <v>9</v>
      </c>
      <c r="GR18" t="s">
        <v>9</v>
      </c>
      <c r="GS18" t="s">
        <v>9</v>
      </c>
      <c r="GT18" t="s">
        <v>9</v>
      </c>
      <c r="GU18" t="s">
        <v>11</v>
      </c>
      <c r="GV18" t="s">
        <v>9</v>
      </c>
      <c r="GW18" t="s">
        <v>9</v>
      </c>
      <c r="GX18" t="s">
        <v>9</v>
      </c>
      <c r="GY18" t="s">
        <v>13</v>
      </c>
      <c r="GZ18" t="s">
        <v>13</v>
      </c>
      <c r="HA18" t="s">
        <v>13</v>
      </c>
      <c r="HB18" t="s">
        <v>13</v>
      </c>
      <c r="HC18" s="3"/>
      <c r="HD18" t="s">
        <v>9</v>
      </c>
      <c r="HE18" t="s">
        <v>9</v>
      </c>
      <c r="HF18" t="s">
        <v>9</v>
      </c>
      <c r="HG18" t="s">
        <v>13</v>
      </c>
      <c r="HH18" t="s">
        <v>9</v>
      </c>
      <c r="HI18" s="2">
        <v>0</v>
      </c>
      <c r="HJ18" s="2">
        <v>0</v>
      </c>
      <c r="HK18" t="s">
        <v>9</v>
      </c>
      <c r="HL18" t="s">
        <v>13</v>
      </c>
      <c r="HM18" t="s">
        <v>13</v>
      </c>
      <c r="HN18" t="s">
        <v>9</v>
      </c>
      <c r="HO18" s="3"/>
      <c r="HP18" s="3"/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t="s">
        <v>9</v>
      </c>
      <c r="IC18" t="s">
        <v>13</v>
      </c>
      <c r="ID18" t="s">
        <v>9</v>
      </c>
      <c r="IE18" t="s">
        <v>11</v>
      </c>
      <c r="IF18" t="s">
        <v>9</v>
      </c>
      <c r="IG18" t="s">
        <v>9</v>
      </c>
      <c r="IH18" t="s">
        <v>7</v>
      </c>
      <c r="II18" t="s">
        <v>9</v>
      </c>
      <c r="IJ18" t="s">
        <v>9</v>
      </c>
      <c r="IK18" t="s">
        <v>9</v>
      </c>
      <c r="IL18" t="s">
        <v>9</v>
      </c>
      <c r="IM18" t="s">
        <v>9</v>
      </c>
      <c r="IN18" t="s">
        <v>9</v>
      </c>
      <c r="IO18" t="s">
        <v>9</v>
      </c>
      <c r="IP18" t="s">
        <v>9</v>
      </c>
      <c r="IQ18" t="s">
        <v>9</v>
      </c>
      <c r="IR18" t="s">
        <v>9</v>
      </c>
      <c r="IS18" s="3">
        <v>43998</v>
      </c>
      <c r="IT18" t="s">
        <v>9</v>
      </c>
      <c r="IU18" t="s">
        <v>9</v>
      </c>
      <c r="IV18" s="2">
        <v>0</v>
      </c>
      <c r="IW18" s="2">
        <v>0</v>
      </c>
      <c r="IX18" s="2">
        <v>0</v>
      </c>
      <c r="IY18" t="s">
        <v>9</v>
      </c>
      <c r="IZ18" t="s">
        <v>126</v>
      </c>
      <c r="JA18" t="s">
        <v>127</v>
      </c>
      <c r="JB18" t="s">
        <v>127</v>
      </c>
      <c r="JC18" t="s">
        <v>6</v>
      </c>
      <c r="JD18" s="2">
        <v>0</v>
      </c>
      <c r="JE18" s="2">
        <v>0</v>
      </c>
      <c r="JF18" t="s">
        <v>9</v>
      </c>
      <c r="JG18" t="s">
        <v>11</v>
      </c>
      <c r="JH18" s="6">
        <v>0</v>
      </c>
      <c r="JI18" t="s">
        <v>9</v>
      </c>
      <c r="JJ18" t="s">
        <v>9</v>
      </c>
      <c r="JK18" t="s">
        <v>9</v>
      </c>
      <c r="JL18" t="s">
        <v>9</v>
      </c>
      <c r="JM18" t="s">
        <v>13</v>
      </c>
      <c r="JN18" s="2">
        <v>0</v>
      </c>
      <c r="JO18" s="2">
        <v>0</v>
      </c>
      <c r="JP18" t="s">
        <v>9</v>
      </c>
      <c r="JQ18" t="s">
        <v>9</v>
      </c>
      <c r="JR18" t="s">
        <v>9</v>
      </c>
      <c r="JS18" t="s">
        <v>9</v>
      </c>
      <c r="JT18" t="s">
        <v>9</v>
      </c>
      <c r="JU18" t="s">
        <v>9</v>
      </c>
      <c r="JV18" t="s">
        <v>9</v>
      </c>
      <c r="JW18" t="s">
        <v>9</v>
      </c>
      <c r="JX18" t="s">
        <v>9</v>
      </c>
      <c r="JY18" t="s">
        <v>9</v>
      </c>
      <c r="JZ18" t="s">
        <v>9</v>
      </c>
      <c r="KA18" s="2">
        <v>0</v>
      </c>
      <c r="KB18" t="s">
        <v>9</v>
      </c>
      <c r="KC18" t="s">
        <v>13</v>
      </c>
      <c r="KD18" t="s">
        <v>9</v>
      </c>
      <c r="KE18" t="s">
        <v>9</v>
      </c>
      <c r="KF18" t="s">
        <v>9</v>
      </c>
      <c r="KG18" t="s">
        <v>9</v>
      </c>
      <c r="KH18" t="s">
        <v>9</v>
      </c>
      <c r="KI18" t="s">
        <v>9</v>
      </c>
      <c r="KJ18" t="s">
        <v>9</v>
      </c>
      <c r="KK18" t="s">
        <v>9</v>
      </c>
      <c r="KL18" t="s">
        <v>9</v>
      </c>
      <c r="KM18" s="2">
        <v>0</v>
      </c>
      <c r="KN18" s="2">
        <v>0</v>
      </c>
      <c r="KO18" s="2">
        <v>0</v>
      </c>
      <c r="KP18" s="2">
        <v>0</v>
      </c>
      <c r="KQ18" t="s">
        <v>13</v>
      </c>
      <c r="KR18" s="2">
        <v>0</v>
      </c>
      <c r="KS18" t="s">
        <v>13</v>
      </c>
      <c r="KT18" s="2">
        <v>1000</v>
      </c>
      <c r="KU18" s="3">
        <v>43998</v>
      </c>
      <c r="KV18" t="s">
        <v>116</v>
      </c>
      <c r="KW18" t="s">
        <v>97</v>
      </c>
      <c r="KX18" t="s">
        <v>9</v>
      </c>
      <c r="KY18" s="2">
        <v>0</v>
      </c>
      <c r="KZ18" t="s">
        <v>9</v>
      </c>
      <c r="LA18" t="s">
        <v>9</v>
      </c>
      <c r="LB18" t="s">
        <v>123</v>
      </c>
      <c r="LC18" t="s">
        <v>9</v>
      </c>
      <c r="LD18" s="3">
        <v>43998</v>
      </c>
      <c r="LE18" t="s">
        <v>17</v>
      </c>
      <c r="LF18" t="s">
        <v>9</v>
      </c>
      <c r="LG18" s="2">
        <v>0</v>
      </c>
      <c r="LH18" s="2">
        <v>0</v>
      </c>
      <c r="LI18" t="s">
        <v>9</v>
      </c>
      <c r="LJ18" s="4">
        <v>0</v>
      </c>
      <c r="LK18" s="3"/>
      <c r="LL18" t="s">
        <v>13</v>
      </c>
      <c r="LM18" t="s">
        <v>9</v>
      </c>
      <c r="LN18" t="s">
        <v>9</v>
      </c>
      <c r="LO18" s="5">
        <v>0</v>
      </c>
      <c r="LP18" s="5">
        <v>0</v>
      </c>
      <c r="LQ18" s="5">
        <v>0</v>
      </c>
      <c r="LR18" t="s">
        <v>9</v>
      </c>
      <c r="LS18" t="s">
        <v>9</v>
      </c>
      <c r="LT18" t="s">
        <v>9</v>
      </c>
      <c r="LU18" t="s">
        <v>9</v>
      </c>
      <c r="LV18" t="s">
        <v>9</v>
      </c>
      <c r="LW18" t="s">
        <v>9</v>
      </c>
      <c r="LX18" s="3"/>
      <c r="LY18" t="s">
        <v>9</v>
      </c>
      <c r="LZ18" t="s">
        <v>9</v>
      </c>
      <c r="MA18" t="s">
        <v>9</v>
      </c>
      <c r="MB18" t="s">
        <v>22</v>
      </c>
      <c r="MC18" s="3"/>
      <c r="MD18" t="s">
        <v>9</v>
      </c>
      <c r="ME18" t="s">
        <v>9</v>
      </c>
      <c r="MF18" t="s">
        <v>13</v>
      </c>
      <c r="MG18" t="s">
        <v>11</v>
      </c>
      <c r="MH18" t="s">
        <v>9</v>
      </c>
      <c r="MI18" t="s">
        <v>13</v>
      </c>
      <c r="MJ18" t="s">
        <v>9</v>
      </c>
      <c r="MK18" t="s">
        <v>9</v>
      </c>
      <c r="ML18" t="s">
        <v>9</v>
      </c>
      <c r="MM18" t="s">
        <v>13</v>
      </c>
      <c r="MN18" t="s">
        <v>13</v>
      </c>
      <c r="MO18" t="s">
        <v>9</v>
      </c>
      <c r="MP18" t="s">
        <v>9</v>
      </c>
      <c r="MQ18" t="s">
        <v>13</v>
      </c>
      <c r="MR18" t="s">
        <v>9</v>
      </c>
      <c r="MS18" t="s">
        <v>9</v>
      </c>
      <c r="MT18" t="s">
        <v>9</v>
      </c>
      <c r="MU18" t="s">
        <v>9</v>
      </c>
      <c r="MV18" t="s">
        <v>9</v>
      </c>
      <c r="MW18" s="2">
        <v>0</v>
      </c>
      <c r="MX18" t="s">
        <v>9</v>
      </c>
      <c r="MY18" t="s">
        <v>9</v>
      </c>
      <c r="MZ18" t="s">
        <v>13</v>
      </c>
      <c r="NA18" t="s">
        <v>9</v>
      </c>
      <c r="NB18" t="s">
        <v>9</v>
      </c>
      <c r="NC18" t="s">
        <v>9</v>
      </c>
      <c r="ND18" t="s">
        <v>9</v>
      </c>
      <c r="NE18" t="s">
        <v>9</v>
      </c>
      <c r="NF18" t="s">
        <v>13</v>
      </c>
      <c r="NG18" s="2">
        <v>0</v>
      </c>
      <c r="NH18" s="2">
        <v>0</v>
      </c>
      <c r="NI18" t="s">
        <v>117</v>
      </c>
      <c r="NJ18" t="s">
        <v>9</v>
      </c>
      <c r="NK18" t="s">
        <v>9</v>
      </c>
      <c r="NL18" t="s">
        <v>9</v>
      </c>
      <c r="NM18" t="s">
        <v>9</v>
      </c>
      <c r="NN18" s="3"/>
      <c r="NO18" t="s">
        <v>9</v>
      </c>
      <c r="NP18" t="s">
        <v>9</v>
      </c>
      <c r="NQ18" t="s">
        <v>9</v>
      </c>
      <c r="NR18" s="2">
        <v>0</v>
      </c>
      <c r="NS18" t="s">
        <v>9</v>
      </c>
      <c r="NT18" t="s">
        <v>9</v>
      </c>
      <c r="NU18" t="s">
        <v>9</v>
      </c>
      <c r="NV18" t="s">
        <v>9</v>
      </c>
      <c r="NW18" t="s">
        <v>9</v>
      </c>
      <c r="NX18" s="3"/>
      <c r="NY18" t="s">
        <v>9</v>
      </c>
      <c r="NZ18" t="s">
        <v>9</v>
      </c>
      <c r="OA18" t="s">
        <v>9</v>
      </c>
      <c r="OB18" t="s">
        <v>9</v>
      </c>
      <c r="OC18" t="s">
        <v>9</v>
      </c>
      <c r="OD18" t="s">
        <v>9</v>
      </c>
      <c r="OE18" t="s">
        <v>9</v>
      </c>
      <c r="OF18" s="2">
        <v>0</v>
      </c>
      <c r="OG18" s="2">
        <v>0</v>
      </c>
      <c r="OH18" s="2">
        <v>0</v>
      </c>
      <c r="OI18" t="s">
        <v>9</v>
      </c>
      <c r="OJ18" s="3"/>
      <c r="OK18" t="s">
        <v>9</v>
      </c>
      <c r="OL18" t="s">
        <v>9</v>
      </c>
      <c r="OM18" t="s">
        <v>9</v>
      </c>
      <c r="ON18" t="s">
        <v>9</v>
      </c>
      <c r="OO18" t="s">
        <v>9</v>
      </c>
      <c r="OP18" t="s">
        <v>9</v>
      </c>
      <c r="OQ18" s="2">
        <v>0</v>
      </c>
      <c r="OR18" s="2">
        <v>0</v>
      </c>
      <c r="OS18" t="s">
        <v>9</v>
      </c>
      <c r="OT18" s="2">
        <v>0</v>
      </c>
      <c r="OU18" t="s">
        <v>9</v>
      </c>
      <c r="OV18" t="s">
        <v>9</v>
      </c>
      <c r="OW18" t="s">
        <v>9</v>
      </c>
    </row>
    <row r="19" spans="1:413" x14ac:dyDescent="0.25">
      <c r="A19" t="s">
        <v>111</v>
      </c>
      <c r="B19" t="s">
        <v>24</v>
      </c>
      <c r="C19" t="s">
        <v>32</v>
      </c>
      <c r="D19" t="s">
        <v>3</v>
      </c>
      <c r="E19" t="s">
        <v>4</v>
      </c>
      <c r="F19" t="s">
        <v>5</v>
      </c>
      <c r="G19" t="s">
        <v>6</v>
      </c>
      <c r="H19" s="2">
        <v>65000</v>
      </c>
      <c r="I19" s="2">
        <v>65000</v>
      </c>
      <c r="J19" s="2">
        <v>0</v>
      </c>
      <c r="K19" s="2">
        <v>65000</v>
      </c>
      <c r="L19" t="s">
        <v>7</v>
      </c>
      <c r="M19" t="s">
        <v>8</v>
      </c>
      <c r="N19" t="s">
        <v>9</v>
      </c>
      <c r="O19" t="s">
        <v>114</v>
      </c>
      <c r="P19" t="s">
        <v>9</v>
      </c>
      <c r="Q19" t="s">
        <v>10</v>
      </c>
      <c r="R19" t="str">
        <f t="shared" si="0"/>
        <v>24430000_200000003_Sunny</v>
      </c>
      <c r="S19" t="e">
        <f>VLOOKUP(R19,[1]Sheet1!$R$2:$AX$4,33,0)</f>
        <v>#N/A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s="2">
        <v>0</v>
      </c>
      <c r="Z19" t="s">
        <v>9</v>
      </c>
      <c r="AA19" t="s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t="s">
        <v>9</v>
      </c>
      <c r="AQ19" t="s">
        <v>9</v>
      </c>
      <c r="AR19" t="s">
        <v>9</v>
      </c>
      <c r="AS19" s="3"/>
      <c r="AT19" s="3"/>
      <c r="AU19" t="s">
        <v>9</v>
      </c>
      <c r="AV19" t="s">
        <v>11</v>
      </c>
      <c r="AW19" t="s">
        <v>9</v>
      </c>
      <c r="AX19" s="3">
        <v>44616</v>
      </c>
      <c r="AY19" t="s">
        <v>9</v>
      </c>
      <c r="AZ19" t="s">
        <v>9</v>
      </c>
      <c r="BA19" t="s">
        <v>9</v>
      </c>
      <c r="BB19" s="3"/>
      <c r="BC19" s="3"/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s="3">
        <v>44616</v>
      </c>
      <c r="BS19" s="3">
        <v>44616</v>
      </c>
      <c r="BT19" t="s">
        <v>9</v>
      </c>
      <c r="BU19" s="2">
        <v>0</v>
      </c>
      <c r="BV19" t="s">
        <v>9</v>
      </c>
      <c r="BW19" s="2">
        <v>0</v>
      </c>
      <c r="BX19" s="2">
        <v>0</v>
      </c>
      <c r="BY19" s="2">
        <v>0</v>
      </c>
      <c r="BZ19" s="2">
        <v>0</v>
      </c>
      <c r="CA19" t="s">
        <v>9</v>
      </c>
      <c r="CB19" t="s">
        <v>9</v>
      </c>
      <c r="CC19" s="3"/>
      <c r="CD19" t="s">
        <v>9</v>
      </c>
      <c r="CE19" s="3"/>
      <c r="CF19" t="s">
        <v>9</v>
      </c>
      <c r="CG19" s="4">
        <v>0</v>
      </c>
      <c r="CH19" t="s">
        <v>9</v>
      </c>
      <c r="CI19" t="s">
        <v>12</v>
      </c>
      <c r="CJ19" t="s">
        <v>13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111</v>
      </c>
      <c r="CR19" t="s">
        <v>9</v>
      </c>
      <c r="CS19" t="s">
        <v>9</v>
      </c>
      <c r="CT19" t="s">
        <v>13</v>
      </c>
      <c r="CU19" s="2">
        <v>65000</v>
      </c>
      <c r="CV19" t="s">
        <v>111</v>
      </c>
      <c r="CW19" t="s">
        <v>7</v>
      </c>
      <c r="CX19" t="s">
        <v>9</v>
      </c>
      <c r="CY19" t="s">
        <v>9</v>
      </c>
      <c r="CZ19" t="s">
        <v>114</v>
      </c>
      <c r="DA19" s="3"/>
      <c r="DB19" t="s">
        <v>9</v>
      </c>
      <c r="DC19" s="3"/>
      <c r="DD19" s="4">
        <v>0</v>
      </c>
      <c r="DE19" s="4">
        <v>0</v>
      </c>
      <c r="DF19" s="4">
        <v>0</v>
      </c>
      <c r="DG19" s="4">
        <v>0</v>
      </c>
      <c r="DH19" t="s">
        <v>9</v>
      </c>
      <c r="DI19" t="s">
        <v>9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5">
        <v>0</v>
      </c>
      <c r="DQ19" s="5">
        <v>0</v>
      </c>
      <c r="DR19" t="s">
        <v>13</v>
      </c>
      <c r="DS19" t="s">
        <v>9</v>
      </c>
      <c r="DT19" t="s">
        <v>9</v>
      </c>
      <c r="DU19" s="3">
        <v>44616</v>
      </c>
      <c r="DV19" t="s">
        <v>13</v>
      </c>
      <c r="DW19" t="s">
        <v>13</v>
      </c>
      <c r="DX19" t="s">
        <v>9</v>
      </c>
      <c r="DY19" t="s">
        <v>16</v>
      </c>
      <c r="DZ19" t="s">
        <v>9</v>
      </c>
      <c r="EA19" t="s">
        <v>9</v>
      </c>
      <c r="EB19" t="s">
        <v>9</v>
      </c>
      <c r="EC19" t="s">
        <v>128</v>
      </c>
      <c r="ED19" t="s">
        <v>9</v>
      </c>
      <c r="EE19" t="s">
        <v>13</v>
      </c>
      <c r="EF19" t="s">
        <v>9</v>
      </c>
      <c r="EG19" t="s">
        <v>9</v>
      </c>
      <c r="EH19" t="s">
        <v>9</v>
      </c>
      <c r="EI19" t="s">
        <v>9</v>
      </c>
      <c r="EJ19" s="5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s="2">
        <v>0</v>
      </c>
      <c r="EZ19" s="2">
        <v>0</v>
      </c>
      <c r="FA19" t="s">
        <v>9</v>
      </c>
      <c r="FB19" t="s">
        <v>9</v>
      </c>
      <c r="FC19" t="s">
        <v>9</v>
      </c>
      <c r="FD19" s="2">
        <v>0</v>
      </c>
      <c r="FE19" s="2">
        <v>0</v>
      </c>
      <c r="FF19" s="2">
        <v>0</v>
      </c>
      <c r="FG19" t="s">
        <v>13</v>
      </c>
      <c r="FH19" t="s">
        <v>9</v>
      </c>
      <c r="FI19" t="s">
        <v>9</v>
      </c>
      <c r="FJ19" t="s">
        <v>9</v>
      </c>
      <c r="FK19" t="s">
        <v>9</v>
      </c>
      <c r="FL19" t="s">
        <v>93</v>
      </c>
      <c r="FM19" t="s">
        <v>9</v>
      </c>
      <c r="FN19" t="s">
        <v>13</v>
      </c>
      <c r="FO19" t="s">
        <v>13</v>
      </c>
      <c r="FP19" t="s">
        <v>9</v>
      </c>
      <c r="FQ19" t="s">
        <v>9</v>
      </c>
      <c r="FR19" s="2">
        <v>0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s="3"/>
      <c r="FY19" s="3"/>
      <c r="FZ19" s="5">
        <v>0</v>
      </c>
      <c r="GA19" s="5">
        <v>0</v>
      </c>
      <c r="GB19" s="2">
        <v>0</v>
      </c>
      <c r="GC19" s="2">
        <v>0</v>
      </c>
      <c r="GD19" t="s">
        <v>10</v>
      </c>
      <c r="GE19" t="s">
        <v>18</v>
      </c>
      <c r="GF19" t="s">
        <v>9</v>
      </c>
      <c r="GG19" t="s">
        <v>9</v>
      </c>
      <c r="GH19" t="s">
        <v>13</v>
      </c>
      <c r="GI19" t="s">
        <v>9</v>
      </c>
      <c r="GJ19" t="s">
        <v>9</v>
      </c>
      <c r="GK19" s="2">
        <v>0</v>
      </c>
      <c r="GL19" s="2">
        <v>0</v>
      </c>
      <c r="GM19" t="s">
        <v>9</v>
      </c>
      <c r="GN19" t="s">
        <v>9</v>
      </c>
      <c r="GO19" t="s">
        <v>9</v>
      </c>
      <c r="GP19" s="3"/>
      <c r="GQ19" t="s">
        <v>9</v>
      </c>
      <c r="GR19" t="s">
        <v>9</v>
      </c>
      <c r="GS19" t="s">
        <v>9</v>
      </c>
      <c r="GT19" t="s">
        <v>9</v>
      </c>
      <c r="GU19" t="s">
        <v>11</v>
      </c>
      <c r="GV19" t="s">
        <v>9</v>
      </c>
      <c r="GW19" t="s">
        <v>9</v>
      </c>
      <c r="GX19" t="s">
        <v>9</v>
      </c>
      <c r="GY19" t="s">
        <v>13</v>
      </c>
      <c r="GZ19" t="s">
        <v>13</v>
      </c>
      <c r="HA19" t="s">
        <v>13</v>
      </c>
      <c r="HB19" t="s">
        <v>13</v>
      </c>
      <c r="HC19" s="3"/>
      <c r="HD19" t="s">
        <v>9</v>
      </c>
      <c r="HE19" t="s">
        <v>9</v>
      </c>
      <c r="HF19" t="s">
        <v>9</v>
      </c>
      <c r="HG19" t="s">
        <v>13</v>
      </c>
      <c r="HH19" t="s">
        <v>9</v>
      </c>
      <c r="HI19" s="2">
        <v>0</v>
      </c>
      <c r="HJ19" s="2">
        <v>0</v>
      </c>
      <c r="HK19" t="s">
        <v>9</v>
      </c>
      <c r="HL19" t="s">
        <v>13</v>
      </c>
      <c r="HM19" t="s">
        <v>13</v>
      </c>
      <c r="HN19" t="s">
        <v>9</v>
      </c>
      <c r="HO19" s="3"/>
      <c r="HP19" s="3"/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t="s">
        <v>9</v>
      </c>
      <c r="IC19" t="s">
        <v>13</v>
      </c>
      <c r="ID19" t="s">
        <v>9</v>
      </c>
      <c r="IE19" t="s">
        <v>11</v>
      </c>
      <c r="IF19" t="s">
        <v>9</v>
      </c>
      <c r="IG19" t="s">
        <v>9</v>
      </c>
      <c r="IH19" t="s">
        <v>7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s="3">
        <v>44616</v>
      </c>
      <c r="IT19" t="s">
        <v>9</v>
      </c>
      <c r="IU19" t="s">
        <v>9</v>
      </c>
      <c r="IV19" s="2">
        <v>0</v>
      </c>
      <c r="IW19" s="2">
        <v>0</v>
      </c>
      <c r="IX19" s="2">
        <v>0</v>
      </c>
      <c r="IY19" t="s">
        <v>9</v>
      </c>
      <c r="IZ19" t="s">
        <v>129</v>
      </c>
      <c r="JA19" t="s">
        <v>130</v>
      </c>
      <c r="JB19" t="s">
        <v>130</v>
      </c>
      <c r="JC19" t="s">
        <v>6</v>
      </c>
      <c r="JD19" s="2">
        <v>0</v>
      </c>
      <c r="JE19" s="2">
        <v>0</v>
      </c>
      <c r="JF19" t="s">
        <v>9</v>
      </c>
      <c r="JG19" t="s">
        <v>11</v>
      </c>
      <c r="JH19" s="6">
        <v>0</v>
      </c>
      <c r="JI19" t="s">
        <v>9</v>
      </c>
      <c r="JJ19" t="s">
        <v>9</v>
      </c>
      <c r="JK19" t="s">
        <v>9</v>
      </c>
      <c r="JL19" t="s">
        <v>9</v>
      </c>
      <c r="JM19" t="s">
        <v>13</v>
      </c>
      <c r="JN19" s="2">
        <v>0</v>
      </c>
      <c r="JO19" s="2">
        <v>0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s="2">
        <v>0</v>
      </c>
      <c r="KB19" t="s">
        <v>9</v>
      </c>
      <c r="KC19" t="s">
        <v>13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s="2">
        <v>0</v>
      </c>
      <c r="KN19" s="2">
        <v>0</v>
      </c>
      <c r="KO19" s="2">
        <v>0</v>
      </c>
      <c r="KP19" s="2">
        <v>0</v>
      </c>
      <c r="KQ19" t="s">
        <v>13</v>
      </c>
      <c r="KR19" s="2">
        <v>0</v>
      </c>
      <c r="KS19" t="s">
        <v>13</v>
      </c>
      <c r="KT19" s="2">
        <v>65000</v>
      </c>
      <c r="KU19" s="3">
        <v>44616</v>
      </c>
      <c r="KV19" t="s">
        <v>116</v>
      </c>
      <c r="KW19" t="s">
        <v>97</v>
      </c>
      <c r="KX19" t="s">
        <v>9</v>
      </c>
      <c r="KY19" s="2">
        <v>0</v>
      </c>
      <c r="KZ19" t="s">
        <v>9</v>
      </c>
      <c r="LA19" t="s">
        <v>9</v>
      </c>
      <c r="LB19" t="s">
        <v>3</v>
      </c>
      <c r="LC19" t="s">
        <v>9</v>
      </c>
      <c r="LD19" s="3">
        <v>44616</v>
      </c>
      <c r="LE19" t="s">
        <v>131</v>
      </c>
      <c r="LF19" t="s">
        <v>9</v>
      </c>
      <c r="LG19" s="2">
        <v>0</v>
      </c>
      <c r="LH19" s="2">
        <v>0</v>
      </c>
      <c r="LI19" t="s">
        <v>9</v>
      </c>
      <c r="LJ19" s="4">
        <v>0</v>
      </c>
      <c r="LK19" s="3"/>
      <c r="LL19" t="s">
        <v>13</v>
      </c>
      <c r="LM19" t="s">
        <v>9</v>
      </c>
      <c r="LN19" t="s">
        <v>9</v>
      </c>
      <c r="LO19" s="5">
        <v>0</v>
      </c>
      <c r="LP19" s="5">
        <v>0</v>
      </c>
      <c r="LQ19" s="5">
        <v>0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s="3"/>
      <c r="LY19" t="s">
        <v>9</v>
      </c>
      <c r="LZ19" t="s">
        <v>9</v>
      </c>
      <c r="MA19" t="s">
        <v>9</v>
      </c>
      <c r="MB19" t="s">
        <v>22</v>
      </c>
      <c r="MC19" s="3"/>
      <c r="MD19" t="s">
        <v>9</v>
      </c>
      <c r="ME19" t="s">
        <v>9</v>
      </c>
      <c r="MF19" t="s">
        <v>13</v>
      </c>
      <c r="MG19" t="s">
        <v>11</v>
      </c>
      <c r="MH19" t="s">
        <v>9</v>
      </c>
      <c r="MI19" t="s">
        <v>13</v>
      </c>
      <c r="MJ19" t="s">
        <v>9</v>
      </c>
      <c r="MK19" t="s">
        <v>9</v>
      </c>
      <c r="ML19" t="s">
        <v>9</v>
      </c>
      <c r="MM19" t="s">
        <v>13</v>
      </c>
      <c r="MN19" t="s">
        <v>13</v>
      </c>
      <c r="MO19" t="s">
        <v>9</v>
      </c>
      <c r="MP19" t="s">
        <v>9</v>
      </c>
      <c r="MQ19" t="s">
        <v>13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s="2">
        <v>0</v>
      </c>
      <c r="MX19" t="s">
        <v>9</v>
      </c>
      <c r="MY19" t="s">
        <v>9</v>
      </c>
      <c r="MZ19" t="s">
        <v>13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13</v>
      </c>
      <c r="NG19" s="2">
        <v>0</v>
      </c>
      <c r="NH19" s="2">
        <v>0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s="3"/>
      <c r="NO19" t="s">
        <v>9</v>
      </c>
      <c r="NP19" t="s">
        <v>9</v>
      </c>
      <c r="NQ19" t="s">
        <v>9</v>
      </c>
      <c r="NR19" s="2">
        <v>0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s="3"/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s="2">
        <v>0</v>
      </c>
      <c r="OG19" s="2">
        <v>0</v>
      </c>
      <c r="OH19" s="2">
        <v>0</v>
      </c>
      <c r="OI19" t="s">
        <v>9</v>
      </c>
      <c r="OJ19" s="3"/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s="2">
        <v>0</v>
      </c>
      <c r="OR19" s="2">
        <v>0</v>
      </c>
      <c r="OS19" t="s">
        <v>9</v>
      </c>
      <c r="OT19" s="2">
        <v>0</v>
      </c>
      <c r="OU19" t="s">
        <v>9</v>
      </c>
      <c r="OV19" t="s">
        <v>9</v>
      </c>
      <c r="OW19" t="s">
        <v>9</v>
      </c>
    </row>
    <row r="20" spans="1:413" x14ac:dyDescent="0.25">
      <c r="A20" t="s">
        <v>132</v>
      </c>
      <c r="B20" t="s">
        <v>24</v>
      </c>
      <c r="C20" t="s">
        <v>112</v>
      </c>
      <c r="D20" t="s">
        <v>3</v>
      </c>
      <c r="E20" t="s">
        <v>4</v>
      </c>
      <c r="F20" t="s">
        <v>5</v>
      </c>
      <c r="G20" t="s">
        <v>6</v>
      </c>
      <c r="H20" s="2">
        <v>250</v>
      </c>
      <c r="I20" s="2">
        <v>250</v>
      </c>
      <c r="J20" s="2">
        <v>0</v>
      </c>
      <c r="K20" s="2">
        <v>250</v>
      </c>
      <c r="L20" t="s">
        <v>7</v>
      </c>
      <c r="M20" t="s">
        <v>9</v>
      </c>
      <c r="N20" t="s">
        <v>9</v>
      </c>
      <c r="O20" t="s">
        <v>75</v>
      </c>
      <c r="P20" t="s">
        <v>9</v>
      </c>
      <c r="Q20" t="s">
        <v>10</v>
      </c>
      <c r="R20" t="str">
        <f t="shared" si="0"/>
        <v>24430000_12_Sunny</v>
      </c>
      <c r="S20" t="e">
        <f>VLOOKUP(R20,[1]Sheet1!$R$2:$AX$4,33,0)</f>
        <v>#N/A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s="2">
        <v>0</v>
      </c>
      <c r="Z20" t="s">
        <v>9</v>
      </c>
      <c r="AA20" t="s">
        <v>9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t="s">
        <v>9</v>
      </c>
      <c r="AQ20" t="s">
        <v>9</v>
      </c>
      <c r="AR20" t="s">
        <v>9</v>
      </c>
      <c r="AS20" s="3"/>
      <c r="AT20" s="3"/>
      <c r="AU20" t="s">
        <v>9</v>
      </c>
      <c r="AV20" t="s">
        <v>11</v>
      </c>
      <c r="AW20" t="s">
        <v>9</v>
      </c>
      <c r="AX20" s="3">
        <v>43109</v>
      </c>
      <c r="AY20" t="s">
        <v>9</v>
      </c>
      <c r="AZ20" t="s">
        <v>9</v>
      </c>
      <c r="BA20" t="s">
        <v>9</v>
      </c>
      <c r="BB20" s="3"/>
      <c r="BC20" s="3"/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0</v>
      </c>
      <c r="BP20" t="s">
        <v>9</v>
      </c>
      <c r="BQ20" t="s">
        <v>9</v>
      </c>
      <c r="BR20" s="3">
        <v>43109</v>
      </c>
      <c r="BS20" s="3">
        <v>43109</v>
      </c>
      <c r="BT20" t="s">
        <v>9</v>
      </c>
      <c r="BU20" s="2">
        <v>0</v>
      </c>
      <c r="BV20" t="s">
        <v>9</v>
      </c>
      <c r="BW20" s="2">
        <v>0</v>
      </c>
      <c r="BX20" s="2">
        <v>0</v>
      </c>
      <c r="BY20" s="2">
        <v>0</v>
      </c>
      <c r="BZ20" s="2">
        <v>250</v>
      </c>
      <c r="CA20" t="s">
        <v>9</v>
      </c>
      <c r="CB20" t="s">
        <v>9</v>
      </c>
      <c r="CC20" s="3"/>
      <c r="CD20" t="s">
        <v>9</v>
      </c>
      <c r="CE20" s="3"/>
      <c r="CF20" t="s">
        <v>9</v>
      </c>
      <c r="CG20" s="4">
        <v>0</v>
      </c>
      <c r="CH20" t="s">
        <v>9</v>
      </c>
      <c r="CI20" t="s">
        <v>12</v>
      </c>
      <c r="CJ20" t="s">
        <v>13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132</v>
      </c>
      <c r="CR20" t="s">
        <v>9</v>
      </c>
      <c r="CS20" t="s">
        <v>9</v>
      </c>
      <c r="CT20" t="s">
        <v>13</v>
      </c>
      <c r="CU20" s="2">
        <v>250</v>
      </c>
      <c r="CV20" t="s">
        <v>132</v>
      </c>
      <c r="CW20" t="s">
        <v>7</v>
      </c>
      <c r="CX20" t="s">
        <v>9</v>
      </c>
      <c r="CY20" t="s">
        <v>9</v>
      </c>
      <c r="CZ20" t="s">
        <v>75</v>
      </c>
      <c r="DA20" s="3"/>
      <c r="DB20" t="s">
        <v>9</v>
      </c>
      <c r="DC20" s="3"/>
      <c r="DD20" s="4">
        <v>0</v>
      </c>
      <c r="DE20" s="4">
        <v>0</v>
      </c>
      <c r="DF20" s="4">
        <v>0</v>
      </c>
      <c r="DG20" s="4">
        <v>0</v>
      </c>
      <c r="DH20" t="s">
        <v>9</v>
      </c>
      <c r="DI20" t="s">
        <v>9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5">
        <v>0</v>
      </c>
      <c r="DQ20" s="5">
        <v>0</v>
      </c>
      <c r="DR20" t="s">
        <v>13</v>
      </c>
      <c r="DS20" t="s">
        <v>9</v>
      </c>
      <c r="DT20" t="s">
        <v>9</v>
      </c>
      <c r="DU20" s="3">
        <v>43109</v>
      </c>
      <c r="DV20" t="s">
        <v>13</v>
      </c>
      <c r="DW20" t="s">
        <v>13</v>
      </c>
      <c r="DX20" t="s">
        <v>9</v>
      </c>
      <c r="DY20" t="s">
        <v>16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13</v>
      </c>
      <c r="EF20" t="s">
        <v>9</v>
      </c>
      <c r="EG20" t="s">
        <v>9</v>
      </c>
      <c r="EH20" t="s">
        <v>9</v>
      </c>
      <c r="EI20" t="s">
        <v>9</v>
      </c>
      <c r="EJ20" s="5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s="2">
        <v>0</v>
      </c>
      <c r="EZ20" s="2">
        <v>0</v>
      </c>
      <c r="FA20" t="s">
        <v>9</v>
      </c>
      <c r="FB20" t="s">
        <v>9</v>
      </c>
      <c r="FC20" t="s">
        <v>9</v>
      </c>
      <c r="FD20" s="2">
        <v>0</v>
      </c>
      <c r="FE20" s="2">
        <v>0</v>
      </c>
      <c r="FF20" s="2">
        <v>0</v>
      </c>
      <c r="FG20" t="s">
        <v>13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13</v>
      </c>
      <c r="FO20" t="s">
        <v>13</v>
      </c>
      <c r="FP20" t="s">
        <v>9</v>
      </c>
      <c r="FQ20" t="s">
        <v>9</v>
      </c>
      <c r="FR20" s="2">
        <v>0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s="3"/>
      <c r="FY20" s="3"/>
      <c r="FZ20" s="5">
        <v>0</v>
      </c>
      <c r="GA20" s="5">
        <v>0</v>
      </c>
      <c r="GB20" s="2">
        <v>0</v>
      </c>
      <c r="GC20" s="2">
        <v>0</v>
      </c>
      <c r="GD20" t="s">
        <v>10</v>
      </c>
      <c r="GE20" t="s">
        <v>18</v>
      </c>
      <c r="GF20" t="s">
        <v>9</v>
      </c>
      <c r="GG20" t="s">
        <v>9</v>
      </c>
      <c r="GH20" t="s">
        <v>13</v>
      </c>
      <c r="GI20" t="s">
        <v>9</v>
      </c>
      <c r="GJ20" t="s">
        <v>9</v>
      </c>
      <c r="GK20" s="2">
        <v>0</v>
      </c>
      <c r="GL20" s="2">
        <v>0</v>
      </c>
      <c r="GM20" t="s">
        <v>9</v>
      </c>
      <c r="GN20" t="s">
        <v>9</v>
      </c>
      <c r="GO20" t="s">
        <v>9</v>
      </c>
      <c r="GP20" s="3"/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13</v>
      </c>
      <c r="GZ20" t="s">
        <v>13</v>
      </c>
      <c r="HA20" t="s">
        <v>13</v>
      </c>
      <c r="HB20" t="s">
        <v>13</v>
      </c>
      <c r="HC20" s="3"/>
      <c r="HD20" t="s">
        <v>9</v>
      </c>
      <c r="HE20" t="s">
        <v>9</v>
      </c>
      <c r="HF20" t="s">
        <v>9</v>
      </c>
      <c r="HG20" t="s">
        <v>13</v>
      </c>
      <c r="HH20" t="s">
        <v>9</v>
      </c>
      <c r="HI20" s="2">
        <v>0</v>
      </c>
      <c r="HJ20" s="2">
        <v>0</v>
      </c>
      <c r="HK20" t="s">
        <v>9</v>
      </c>
      <c r="HL20" t="s">
        <v>13</v>
      </c>
      <c r="HM20" t="s">
        <v>13</v>
      </c>
      <c r="HN20" t="s">
        <v>9</v>
      </c>
      <c r="HO20" s="3"/>
      <c r="HP20" s="3"/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t="s">
        <v>9</v>
      </c>
      <c r="IC20" t="s">
        <v>13</v>
      </c>
      <c r="ID20" t="s">
        <v>9</v>
      </c>
      <c r="IE20" t="s">
        <v>11</v>
      </c>
      <c r="IF20" t="s">
        <v>9</v>
      </c>
      <c r="IG20" t="s">
        <v>9</v>
      </c>
      <c r="IH20" t="s">
        <v>7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s="3">
        <v>43109</v>
      </c>
      <c r="IT20" t="s">
        <v>9</v>
      </c>
      <c r="IU20" t="s">
        <v>9</v>
      </c>
      <c r="IV20" s="2">
        <v>0</v>
      </c>
      <c r="IW20" s="2">
        <v>0</v>
      </c>
      <c r="IX20" s="2">
        <v>0</v>
      </c>
      <c r="IY20" t="s">
        <v>9</v>
      </c>
      <c r="IZ20" t="s">
        <v>133</v>
      </c>
      <c r="JA20" t="s">
        <v>9</v>
      </c>
      <c r="JB20" t="s">
        <v>9</v>
      </c>
      <c r="JC20" t="s">
        <v>9</v>
      </c>
      <c r="JD20" s="2">
        <v>0</v>
      </c>
      <c r="JE20" s="2">
        <v>0</v>
      </c>
      <c r="JF20" t="s">
        <v>9</v>
      </c>
      <c r="JG20" t="s">
        <v>11</v>
      </c>
      <c r="JH20" s="6">
        <v>0</v>
      </c>
      <c r="JI20" t="s">
        <v>9</v>
      </c>
      <c r="JJ20" t="s">
        <v>9</v>
      </c>
      <c r="JK20" t="s">
        <v>9</v>
      </c>
      <c r="JL20" t="s">
        <v>9</v>
      </c>
      <c r="JM20" t="s">
        <v>13</v>
      </c>
      <c r="JN20" s="2">
        <v>0</v>
      </c>
      <c r="JO20" s="2">
        <v>0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s="2">
        <v>0</v>
      </c>
      <c r="KB20" t="s">
        <v>9</v>
      </c>
      <c r="KC20" t="s">
        <v>13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0</v>
      </c>
      <c r="KL20" t="s">
        <v>9</v>
      </c>
      <c r="KM20" s="2">
        <v>0</v>
      </c>
      <c r="KN20" s="2">
        <v>0</v>
      </c>
      <c r="KO20" s="2">
        <v>0</v>
      </c>
      <c r="KP20" s="2">
        <v>0</v>
      </c>
      <c r="KQ20" t="s">
        <v>13</v>
      </c>
      <c r="KR20" s="2">
        <v>0</v>
      </c>
      <c r="KS20" t="s">
        <v>13</v>
      </c>
      <c r="KT20" s="2">
        <v>0</v>
      </c>
      <c r="KU20" s="3"/>
      <c r="KV20" t="s">
        <v>9</v>
      </c>
      <c r="KW20" t="s">
        <v>9</v>
      </c>
      <c r="KX20" t="s">
        <v>9</v>
      </c>
      <c r="KY20" s="2">
        <v>0</v>
      </c>
      <c r="KZ20" t="s">
        <v>9</v>
      </c>
      <c r="LA20" t="s">
        <v>9</v>
      </c>
      <c r="LB20" t="s">
        <v>3</v>
      </c>
      <c r="LC20" t="s">
        <v>9</v>
      </c>
      <c r="LD20" s="3">
        <v>43109</v>
      </c>
      <c r="LE20" t="s">
        <v>119</v>
      </c>
      <c r="LF20" t="s">
        <v>9</v>
      </c>
      <c r="LG20" s="2">
        <v>0</v>
      </c>
      <c r="LH20" s="2">
        <v>0</v>
      </c>
      <c r="LI20" t="s">
        <v>9</v>
      </c>
      <c r="LJ20" s="4">
        <v>0</v>
      </c>
      <c r="LK20" s="3"/>
      <c r="LL20" t="s">
        <v>13</v>
      </c>
      <c r="LM20" t="s">
        <v>9</v>
      </c>
      <c r="LN20" t="s">
        <v>9</v>
      </c>
      <c r="LO20" s="5">
        <v>0</v>
      </c>
      <c r="LP20" s="5">
        <v>0</v>
      </c>
      <c r="LQ20" s="5">
        <v>0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s="3"/>
      <c r="LY20" t="s">
        <v>9</v>
      </c>
      <c r="LZ20" t="s">
        <v>9</v>
      </c>
      <c r="MA20" t="s">
        <v>9</v>
      </c>
      <c r="MB20" t="s">
        <v>22</v>
      </c>
      <c r="MC20" s="3"/>
      <c r="MD20" t="s">
        <v>9</v>
      </c>
      <c r="ME20" t="s">
        <v>9</v>
      </c>
      <c r="MF20" t="s">
        <v>13</v>
      </c>
      <c r="MG20" t="s">
        <v>11</v>
      </c>
      <c r="MH20" t="s">
        <v>9</v>
      </c>
      <c r="MI20" t="s">
        <v>13</v>
      </c>
      <c r="MJ20" t="s">
        <v>9</v>
      </c>
      <c r="MK20" t="s">
        <v>9</v>
      </c>
      <c r="ML20" t="s">
        <v>9</v>
      </c>
      <c r="MM20" t="s">
        <v>13</v>
      </c>
      <c r="MN20" t="s">
        <v>13</v>
      </c>
      <c r="MO20" t="s">
        <v>9</v>
      </c>
      <c r="MP20" t="s">
        <v>9</v>
      </c>
      <c r="MQ20" t="s">
        <v>13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s="2">
        <v>0</v>
      </c>
      <c r="MX20" t="s">
        <v>9</v>
      </c>
      <c r="MY20" t="s">
        <v>9</v>
      </c>
      <c r="MZ20" t="s">
        <v>13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13</v>
      </c>
      <c r="NG20" s="2">
        <v>0</v>
      </c>
      <c r="NH20" s="2">
        <v>0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s="3"/>
      <c r="NO20" t="s">
        <v>9</v>
      </c>
      <c r="NP20" t="s">
        <v>9</v>
      </c>
      <c r="NQ20" t="s">
        <v>9</v>
      </c>
      <c r="NR20" s="2">
        <v>0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s="3"/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s="2">
        <v>0</v>
      </c>
      <c r="OG20" s="2">
        <v>0</v>
      </c>
      <c r="OH20" s="2">
        <v>0</v>
      </c>
      <c r="OI20" t="s">
        <v>9</v>
      </c>
      <c r="OJ20" s="3"/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s="2">
        <v>0</v>
      </c>
      <c r="OR20" s="2">
        <v>0</v>
      </c>
      <c r="OS20" t="s">
        <v>9</v>
      </c>
      <c r="OT20" s="2">
        <v>0</v>
      </c>
      <c r="OU20" t="s">
        <v>9</v>
      </c>
      <c r="OV20" t="s">
        <v>9</v>
      </c>
      <c r="OW20" t="s">
        <v>9</v>
      </c>
    </row>
    <row r="21" spans="1:413" x14ac:dyDescent="0.25">
      <c r="A21" t="s">
        <v>0</v>
      </c>
      <c r="B21" t="s">
        <v>24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100000</v>
      </c>
      <c r="I21" s="2">
        <v>100000</v>
      </c>
      <c r="J21" s="2">
        <v>0</v>
      </c>
      <c r="K21" s="2">
        <v>100000</v>
      </c>
      <c r="L21" t="s">
        <v>7</v>
      </c>
      <c r="M21" t="s">
        <v>8</v>
      </c>
      <c r="N21" t="s">
        <v>9</v>
      </c>
      <c r="O21" t="s">
        <v>9</v>
      </c>
      <c r="P21" t="s">
        <v>9</v>
      </c>
      <c r="Q21" t="s">
        <v>10</v>
      </c>
      <c r="R21" t="str">
        <f>CONCATENATE(Q21,CZ21,"DIPIKA")</f>
        <v>24430000200000013DIPIKA</v>
      </c>
      <c r="S21" t="e">
        <f>VLOOKUP(R21,[2]Sheet1!$R$2:$AX$20,33,0)</f>
        <v>#N/A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s="2">
        <v>0</v>
      </c>
      <c r="Z21" t="s">
        <v>9</v>
      </c>
      <c r="AA21" t="s">
        <v>9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t="s">
        <v>9</v>
      </c>
      <c r="AQ21" t="s">
        <v>9</v>
      </c>
      <c r="AR21" t="s">
        <v>9</v>
      </c>
      <c r="CZ21" t="s">
        <v>26</v>
      </c>
    </row>
    <row r="22" spans="1:413" x14ac:dyDescent="0.25">
      <c r="A22" t="s">
        <v>31</v>
      </c>
      <c r="B22" t="s">
        <v>513</v>
      </c>
      <c r="C22" t="s">
        <v>32</v>
      </c>
      <c r="D22" t="s">
        <v>3</v>
      </c>
      <c r="E22" t="s">
        <v>4</v>
      </c>
      <c r="F22" t="s">
        <v>5</v>
      </c>
      <c r="G22" t="s">
        <v>6</v>
      </c>
      <c r="H22" s="2">
        <v>40000</v>
      </c>
      <c r="I22" s="2">
        <v>40000</v>
      </c>
      <c r="J22" s="2">
        <v>0</v>
      </c>
      <c r="K22" s="2">
        <v>40000</v>
      </c>
      <c r="L22" t="s">
        <v>7</v>
      </c>
      <c r="M22" t="s">
        <v>8</v>
      </c>
      <c r="N22" t="s">
        <v>33</v>
      </c>
      <c r="O22" t="s">
        <v>9</v>
      </c>
      <c r="P22" t="s">
        <v>9</v>
      </c>
      <c r="Q22" t="s">
        <v>514</v>
      </c>
      <c r="R22" t="str">
        <f t="shared" ref="R22:R85" si="1">CONCATENATE(Q22,CZ22,"DIPIKA")</f>
        <v>20000000700000DIPIKA</v>
      </c>
      <c r="S22" t="e">
        <f>VLOOKUP(R22,[2]Sheet1!$R$2:$AX$20,33,0)</f>
        <v>#N/A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s="2">
        <v>0</v>
      </c>
      <c r="Z22" t="s">
        <v>9</v>
      </c>
      <c r="AA22" t="s">
        <v>9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t="s">
        <v>9</v>
      </c>
      <c r="AQ22" t="s">
        <v>9</v>
      </c>
      <c r="AR22" t="s">
        <v>9</v>
      </c>
      <c r="CZ22" t="s">
        <v>668</v>
      </c>
    </row>
    <row r="23" spans="1:413" x14ac:dyDescent="0.25">
      <c r="A23" t="s">
        <v>31</v>
      </c>
      <c r="B23" t="s">
        <v>515</v>
      </c>
      <c r="C23" t="s">
        <v>32</v>
      </c>
      <c r="D23" t="s">
        <v>3</v>
      </c>
      <c r="E23" t="s">
        <v>4</v>
      </c>
      <c r="F23" t="s">
        <v>5</v>
      </c>
      <c r="G23" t="s">
        <v>6</v>
      </c>
      <c r="H23" s="2">
        <v>20000</v>
      </c>
      <c r="I23" s="2">
        <v>20000</v>
      </c>
      <c r="J23" s="2">
        <v>0</v>
      </c>
      <c r="K23" s="2">
        <v>20000</v>
      </c>
      <c r="L23" t="s">
        <v>7</v>
      </c>
      <c r="M23" t="s">
        <v>8</v>
      </c>
      <c r="N23" t="s">
        <v>33</v>
      </c>
      <c r="O23" t="s">
        <v>9</v>
      </c>
      <c r="P23" t="s">
        <v>9</v>
      </c>
      <c r="Q23" t="s">
        <v>34</v>
      </c>
      <c r="R23" t="str">
        <f t="shared" si="1"/>
        <v>2000010031001DIPIKA</v>
      </c>
      <c r="S23" t="e">
        <f>VLOOKUP(R23,[2]Sheet1!$R$2:$AX$20,33,0)</f>
        <v>#N/A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s="2">
        <v>0</v>
      </c>
      <c r="Z23" t="s">
        <v>9</v>
      </c>
      <c r="AA23" t="s">
        <v>9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t="s">
        <v>9</v>
      </c>
      <c r="AQ23" t="s">
        <v>9</v>
      </c>
      <c r="AR23" t="s">
        <v>9</v>
      </c>
      <c r="CZ23" t="s">
        <v>669</v>
      </c>
    </row>
    <row r="24" spans="1:413" x14ac:dyDescent="0.25">
      <c r="A24" t="s">
        <v>31</v>
      </c>
      <c r="B24" t="s">
        <v>516</v>
      </c>
      <c r="C24" t="s">
        <v>32</v>
      </c>
      <c r="D24" t="s">
        <v>3</v>
      </c>
      <c r="E24" t="s">
        <v>4</v>
      </c>
      <c r="F24" t="s">
        <v>5</v>
      </c>
      <c r="G24" t="s">
        <v>6</v>
      </c>
      <c r="H24" s="2">
        <v>20000</v>
      </c>
      <c r="I24" s="2">
        <v>20000</v>
      </c>
      <c r="J24" s="2">
        <v>0</v>
      </c>
      <c r="K24" s="2">
        <v>20000</v>
      </c>
      <c r="L24" t="s">
        <v>7</v>
      </c>
      <c r="M24" t="s">
        <v>8</v>
      </c>
      <c r="N24" t="s">
        <v>33</v>
      </c>
      <c r="O24" t="s">
        <v>9</v>
      </c>
      <c r="P24" t="s">
        <v>9</v>
      </c>
      <c r="Q24" t="s">
        <v>34</v>
      </c>
      <c r="R24" t="str">
        <f t="shared" si="1"/>
        <v>2000010031001DIPIKA</v>
      </c>
      <c r="S24" t="e">
        <f>VLOOKUP(R24,[2]Sheet1!$R$2:$AX$20,33,0)</f>
        <v>#N/A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s="2">
        <v>0</v>
      </c>
      <c r="Z24" t="s">
        <v>9</v>
      </c>
      <c r="AA24" t="s">
        <v>9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t="s">
        <v>9</v>
      </c>
      <c r="AQ24" t="s">
        <v>9</v>
      </c>
      <c r="AR24" t="s">
        <v>9</v>
      </c>
      <c r="CZ24" t="s">
        <v>669</v>
      </c>
    </row>
    <row r="25" spans="1:413" x14ac:dyDescent="0.25">
      <c r="A25" t="s">
        <v>31</v>
      </c>
      <c r="B25" t="s">
        <v>24</v>
      </c>
      <c r="C25" t="s">
        <v>32</v>
      </c>
      <c r="D25" t="s">
        <v>3</v>
      </c>
      <c r="E25" t="s">
        <v>4</v>
      </c>
      <c r="F25" t="s">
        <v>5</v>
      </c>
      <c r="G25" t="s">
        <v>6</v>
      </c>
      <c r="H25" s="2">
        <v>20000</v>
      </c>
      <c r="I25" s="2">
        <v>20000</v>
      </c>
      <c r="J25" s="2">
        <v>0</v>
      </c>
      <c r="K25" s="2">
        <v>20000</v>
      </c>
      <c r="L25" t="s">
        <v>7</v>
      </c>
      <c r="M25" t="s">
        <v>8</v>
      </c>
      <c r="N25" t="s">
        <v>33</v>
      </c>
      <c r="O25" t="s">
        <v>9</v>
      </c>
      <c r="P25" t="s">
        <v>9</v>
      </c>
      <c r="Q25" t="s">
        <v>34</v>
      </c>
      <c r="R25" t="str">
        <f t="shared" si="1"/>
        <v>2000010037001DIPIKA</v>
      </c>
      <c r="S25" t="e">
        <f>VLOOKUP(R25,[2]Sheet1!$R$2:$AX$20,33,0)</f>
        <v>#N/A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s="2">
        <v>0</v>
      </c>
      <c r="Z25" t="s">
        <v>9</v>
      </c>
      <c r="AA25" t="s">
        <v>9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t="s">
        <v>9</v>
      </c>
      <c r="AQ25" t="s">
        <v>9</v>
      </c>
      <c r="AR25" t="s">
        <v>9</v>
      </c>
      <c r="CZ25" t="s">
        <v>37</v>
      </c>
    </row>
    <row r="26" spans="1:413" x14ac:dyDescent="0.25">
      <c r="A26" t="s">
        <v>517</v>
      </c>
      <c r="B26" t="s">
        <v>513</v>
      </c>
      <c r="C26" t="s">
        <v>54</v>
      </c>
      <c r="D26" t="s">
        <v>3</v>
      </c>
      <c r="E26" t="s">
        <v>4</v>
      </c>
      <c r="F26" t="s">
        <v>5</v>
      </c>
      <c r="G26" t="s">
        <v>6</v>
      </c>
      <c r="H26" s="2">
        <v>400</v>
      </c>
      <c r="I26" s="2">
        <v>400</v>
      </c>
      <c r="J26" s="2">
        <v>0</v>
      </c>
      <c r="K26" s="2">
        <v>400</v>
      </c>
      <c r="L26" t="s">
        <v>27</v>
      </c>
      <c r="M26" t="s">
        <v>8</v>
      </c>
      <c r="N26" t="s">
        <v>9</v>
      </c>
      <c r="O26" t="s">
        <v>9</v>
      </c>
      <c r="P26" t="s">
        <v>9</v>
      </c>
      <c r="Q26" t="s">
        <v>55</v>
      </c>
      <c r="R26" t="str">
        <f t="shared" si="1"/>
        <v>121000200000031DIPIKA</v>
      </c>
      <c r="S26" t="e">
        <f>VLOOKUP(R26,[2]Sheet1!$R$2:$AX$20,33,0)</f>
        <v>#N/A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s="2">
        <v>0</v>
      </c>
      <c r="Z26" t="s">
        <v>9</v>
      </c>
      <c r="AA26" t="s">
        <v>9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t="s">
        <v>9</v>
      </c>
      <c r="AQ26" t="s">
        <v>9</v>
      </c>
      <c r="AR26" t="s">
        <v>9</v>
      </c>
      <c r="CZ26" t="s">
        <v>670</v>
      </c>
    </row>
    <row r="27" spans="1:413" x14ac:dyDescent="0.25">
      <c r="A27" t="s">
        <v>44</v>
      </c>
      <c r="B27" t="s">
        <v>513</v>
      </c>
      <c r="C27" t="s">
        <v>54</v>
      </c>
      <c r="D27" t="s">
        <v>3</v>
      </c>
      <c r="E27" t="s">
        <v>4</v>
      </c>
      <c r="F27" t="s">
        <v>5</v>
      </c>
      <c r="G27" t="s">
        <v>6</v>
      </c>
      <c r="H27" s="2">
        <v>20000</v>
      </c>
      <c r="I27" s="2">
        <v>20000</v>
      </c>
      <c r="J27" s="2">
        <v>0</v>
      </c>
      <c r="K27" s="2">
        <v>20000</v>
      </c>
      <c r="L27" t="s">
        <v>27</v>
      </c>
      <c r="M27" t="s">
        <v>8</v>
      </c>
      <c r="N27" t="s">
        <v>9</v>
      </c>
      <c r="O27" t="s">
        <v>9</v>
      </c>
      <c r="P27" t="s">
        <v>9</v>
      </c>
      <c r="Q27" t="s">
        <v>47</v>
      </c>
      <c r="R27" t="str">
        <f t="shared" si="1"/>
        <v>12300020001DIPIKA</v>
      </c>
      <c r="S27" t="e">
        <f>VLOOKUP(R27,[2]Sheet1!$R$2:$AX$20,33,0)</f>
        <v>#N/A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s="2">
        <v>0</v>
      </c>
      <c r="Z27" t="s">
        <v>9</v>
      </c>
      <c r="AA27" t="s">
        <v>9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t="s">
        <v>9</v>
      </c>
      <c r="AQ27" t="s">
        <v>9</v>
      </c>
      <c r="AR27" t="s">
        <v>9</v>
      </c>
      <c r="CZ27" t="s">
        <v>49</v>
      </c>
    </row>
    <row r="28" spans="1:413" x14ac:dyDescent="0.25">
      <c r="A28" t="s">
        <v>44</v>
      </c>
      <c r="B28" t="s">
        <v>513</v>
      </c>
      <c r="C28" t="s">
        <v>32</v>
      </c>
      <c r="D28" t="s">
        <v>3</v>
      </c>
      <c r="E28" t="s">
        <v>4</v>
      </c>
      <c r="F28" t="s">
        <v>5</v>
      </c>
      <c r="G28" t="s">
        <v>6</v>
      </c>
      <c r="H28" s="2">
        <v>500</v>
      </c>
      <c r="I28" s="2">
        <v>500</v>
      </c>
      <c r="J28" s="2">
        <v>0</v>
      </c>
      <c r="K28" s="2">
        <v>500</v>
      </c>
      <c r="L28" t="s">
        <v>27</v>
      </c>
      <c r="M28" t="s">
        <v>8</v>
      </c>
      <c r="N28" t="s">
        <v>9</v>
      </c>
      <c r="O28" t="s">
        <v>9</v>
      </c>
      <c r="P28" t="s">
        <v>9</v>
      </c>
      <c r="Q28" t="s">
        <v>47</v>
      </c>
      <c r="R28" t="str">
        <f t="shared" si="1"/>
        <v>123000230000010DIPIKA</v>
      </c>
      <c r="S28" t="e">
        <f>VLOOKUP(R28,[2]Sheet1!$R$2:$AX$20,33,0)</f>
        <v>#N/A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s="2">
        <v>0</v>
      </c>
      <c r="Z28" t="s">
        <v>9</v>
      </c>
      <c r="AA28" t="s">
        <v>9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t="s">
        <v>9</v>
      </c>
      <c r="AQ28" t="s">
        <v>9</v>
      </c>
      <c r="AR28" t="s">
        <v>9</v>
      </c>
      <c r="CZ28" t="s">
        <v>62</v>
      </c>
    </row>
    <row r="29" spans="1:413" x14ac:dyDescent="0.25">
      <c r="A29" t="s">
        <v>44</v>
      </c>
      <c r="B29" t="s">
        <v>515</v>
      </c>
      <c r="C29" t="s">
        <v>54</v>
      </c>
      <c r="D29" t="s">
        <v>3</v>
      </c>
      <c r="E29" t="s">
        <v>4</v>
      </c>
      <c r="F29" t="s">
        <v>5</v>
      </c>
      <c r="G29" t="s">
        <v>6</v>
      </c>
      <c r="H29" s="2">
        <v>100</v>
      </c>
      <c r="I29" s="2">
        <v>100</v>
      </c>
      <c r="J29" s="2">
        <v>0</v>
      </c>
      <c r="K29" s="2">
        <v>100</v>
      </c>
      <c r="L29" t="s">
        <v>27</v>
      </c>
      <c r="M29" t="s">
        <v>8</v>
      </c>
      <c r="N29" t="s">
        <v>9</v>
      </c>
      <c r="O29" t="s">
        <v>9</v>
      </c>
      <c r="P29" t="s">
        <v>9</v>
      </c>
      <c r="Q29" t="s">
        <v>55</v>
      </c>
      <c r="R29" t="str">
        <f t="shared" si="1"/>
        <v>1210009DIPIKA</v>
      </c>
      <c r="S29" t="e">
        <f>VLOOKUP(R29,[2]Sheet1!$R$2:$AX$20,33,0)</f>
        <v>#N/A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s="2">
        <v>0</v>
      </c>
      <c r="Z29" t="s">
        <v>9</v>
      </c>
      <c r="AA29" t="s">
        <v>9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t="s">
        <v>9</v>
      </c>
      <c r="AQ29" t="s">
        <v>9</v>
      </c>
      <c r="AR29" t="s">
        <v>9</v>
      </c>
      <c r="CZ29" t="s">
        <v>21</v>
      </c>
    </row>
    <row r="30" spans="1:413" x14ac:dyDescent="0.25">
      <c r="A30" t="s">
        <v>44</v>
      </c>
      <c r="B30" t="s">
        <v>515</v>
      </c>
      <c r="C30" t="s">
        <v>32</v>
      </c>
      <c r="D30" t="s">
        <v>3</v>
      </c>
      <c r="E30" t="s">
        <v>4</v>
      </c>
      <c r="F30" t="s">
        <v>5</v>
      </c>
      <c r="G30" t="s">
        <v>6</v>
      </c>
      <c r="H30" s="2">
        <v>245</v>
      </c>
      <c r="I30" s="2">
        <v>245</v>
      </c>
      <c r="J30" s="2">
        <v>0</v>
      </c>
      <c r="K30" s="2">
        <v>245</v>
      </c>
      <c r="L30" t="s">
        <v>27</v>
      </c>
      <c r="M30" t="s">
        <v>8</v>
      </c>
      <c r="N30" t="s">
        <v>9</v>
      </c>
      <c r="O30" t="s">
        <v>9</v>
      </c>
      <c r="P30" t="s">
        <v>9</v>
      </c>
      <c r="Q30" t="s">
        <v>47</v>
      </c>
      <c r="R30" t="str">
        <f t="shared" si="1"/>
        <v>123000230000010DIPIKA</v>
      </c>
      <c r="S30" t="e">
        <f>VLOOKUP(R30,[2]Sheet1!$R$2:$AX$20,33,0)</f>
        <v>#N/A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s="2">
        <v>0</v>
      </c>
      <c r="Z30" t="s">
        <v>9</v>
      </c>
      <c r="AA30" t="s">
        <v>9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t="s">
        <v>9</v>
      </c>
      <c r="AQ30" t="s">
        <v>9</v>
      </c>
      <c r="AR30" t="s">
        <v>9</v>
      </c>
      <c r="CZ30" t="s">
        <v>62</v>
      </c>
    </row>
    <row r="31" spans="1:413" x14ac:dyDescent="0.25">
      <c r="A31" t="s">
        <v>44</v>
      </c>
      <c r="B31" t="s">
        <v>516</v>
      </c>
      <c r="C31" t="s">
        <v>54</v>
      </c>
      <c r="D31" t="s">
        <v>3</v>
      </c>
      <c r="E31" t="s">
        <v>4</v>
      </c>
      <c r="F31" t="s">
        <v>5</v>
      </c>
      <c r="G31" t="s">
        <v>6</v>
      </c>
      <c r="H31" s="2">
        <v>15000</v>
      </c>
      <c r="I31" s="2">
        <v>15000</v>
      </c>
      <c r="J31" s="2">
        <v>0</v>
      </c>
      <c r="K31" s="2">
        <v>15000</v>
      </c>
      <c r="L31" t="s">
        <v>27</v>
      </c>
      <c r="M31" t="s">
        <v>8</v>
      </c>
      <c r="N31" t="s">
        <v>9</v>
      </c>
      <c r="O31" t="s">
        <v>9</v>
      </c>
      <c r="P31" t="s">
        <v>9</v>
      </c>
      <c r="Q31" t="s">
        <v>55</v>
      </c>
      <c r="R31" t="str">
        <f t="shared" si="1"/>
        <v>121000BBBBDIPIKA</v>
      </c>
      <c r="S31" t="e">
        <f>VLOOKUP(R31,[2]Sheet1!$R$2:$AX$20,33,0)</f>
        <v>#N/A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s="2">
        <v>0</v>
      </c>
      <c r="Z31" t="s">
        <v>9</v>
      </c>
      <c r="AA31" t="s">
        <v>9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t="s">
        <v>9</v>
      </c>
      <c r="AQ31" t="s">
        <v>9</v>
      </c>
      <c r="AR31" t="s">
        <v>9</v>
      </c>
      <c r="CZ31" t="s">
        <v>671</v>
      </c>
    </row>
    <row r="32" spans="1:413" x14ac:dyDescent="0.25">
      <c r="A32" t="s">
        <v>44</v>
      </c>
      <c r="B32" t="s">
        <v>516</v>
      </c>
      <c r="C32" t="s">
        <v>32</v>
      </c>
      <c r="D32" t="s">
        <v>3</v>
      </c>
      <c r="E32" t="s">
        <v>4</v>
      </c>
      <c r="F32" t="s">
        <v>5</v>
      </c>
      <c r="G32" t="s">
        <v>6</v>
      </c>
      <c r="H32" s="2">
        <v>876</v>
      </c>
      <c r="I32" s="2">
        <v>876</v>
      </c>
      <c r="J32" s="2">
        <v>0</v>
      </c>
      <c r="K32" s="2">
        <v>876</v>
      </c>
      <c r="L32" t="s">
        <v>27</v>
      </c>
      <c r="M32" t="s">
        <v>8</v>
      </c>
      <c r="N32" t="s">
        <v>9</v>
      </c>
      <c r="O32" t="s">
        <v>9</v>
      </c>
      <c r="P32" t="s">
        <v>9</v>
      </c>
      <c r="Q32" t="s">
        <v>47</v>
      </c>
      <c r="R32" t="str">
        <f t="shared" si="1"/>
        <v>123000230000010DIPIKA</v>
      </c>
      <c r="S32" t="e">
        <f>VLOOKUP(R32,[2]Sheet1!$R$2:$AX$20,33,0)</f>
        <v>#N/A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s="2">
        <v>0</v>
      </c>
      <c r="Z32" t="s">
        <v>9</v>
      </c>
      <c r="AA32" t="s">
        <v>9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t="s">
        <v>9</v>
      </c>
      <c r="AQ32" t="s">
        <v>9</v>
      </c>
      <c r="AR32" t="s">
        <v>9</v>
      </c>
      <c r="CZ32" t="s">
        <v>62</v>
      </c>
    </row>
    <row r="33" spans="1:104" x14ac:dyDescent="0.25">
      <c r="A33" t="s">
        <v>44</v>
      </c>
      <c r="B33" t="s">
        <v>24</v>
      </c>
      <c r="C33" t="s">
        <v>54</v>
      </c>
      <c r="D33" t="s">
        <v>3</v>
      </c>
      <c r="E33" t="s">
        <v>4</v>
      </c>
      <c r="F33" t="s">
        <v>5</v>
      </c>
      <c r="G33" t="s">
        <v>6</v>
      </c>
      <c r="H33" s="2">
        <v>154.32</v>
      </c>
      <c r="I33" s="2">
        <v>10000</v>
      </c>
      <c r="J33" s="2">
        <v>0</v>
      </c>
      <c r="K33" s="2">
        <v>10000</v>
      </c>
      <c r="L33" t="s">
        <v>7</v>
      </c>
      <c r="M33" t="s">
        <v>8</v>
      </c>
      <c r="N33" t="s">
        <v>9</v>
      </c>
      <c r="O33" t="s">
        <v>9</v>
      </c>
      <c r="P33" t="s">
        <v>9</v>
      </c>
      <c r="Q33" t="s">
        <v>55</v>
      </c>
      <c r="R33" t="str">
        <f t="shared" si="1"/>
        <v>121000CCCCDIPIKA</v>
      </c>
      <c r="S33" t="e">
        <f>VLOOKUP(R33,[2]Sheet1!$R$2:$AX$20,33,0)</f>
        <v>#N/A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s="2">
        <v>0</v>
      </c>
      <c r="Z33" t="s">
        <v>9</v>
      </c>
      <c r="AA33" t="s">
        <v>9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t="s">
        <v>9</v>
      </c>
      <c r="AQ33" t="s">
        <v>9</v>
      </c>
      <c r="AR33" t="s">
        <v>9</v>
      </c>
      <c r="CZ33" t="s">
        <v>56</v>
      </c>
    </row>
    <row r="34" spans="1:104" x14ac:dyDescent="0.25">
      <c r="A34" t="s">
        <v>44</v>
      </c>
      <c r="B34" t="s">
        <v>24</v>
      </c>
      <c r="C34" t="s">
        <v>32</v>
      </c>
      <c r="D34" t="s">
        <v>3</v>
      </c>
      <c r="E34" t="s">
        <v>4</v>
      </c>
      <c r="F34" t="s">
        <v>5</v>
      </c>
      <c r="G34" t="s">
        <v>6</v>
      </c>
      <c r="H34" s="2">
        <v>177</v>
      </c>
      <c r="I34" s="2">
        <v>177</v>
      </c>
      <c r="J34" s="2">
        <v>0</v>
      </c>
      <c r="K34" s="2">
        <v>177</v>
      </c>
      <c r="L34" t="s">
        <v>27</v>
      </c>
      <c r="M34" t="s">
        <v>8</v>
      </c>
      <c r="N34" t="s">
        <v>9</v>
      </c>
      <c r="O34" t="s">
        <v>9</v>
      </c>
      <c r="P34" t="s">
        <v>9</v>
      </c>
      <c r="Q34" t="s">
        <v>47</v>
      </c>
      <c r="R34" t="str">
        <f t="shared" si="1"/>
        <v>123000230000010DIPIKA</v>
      </c>
      <c r="S34" t="e">
        <f>VLOOKUP(R34,[2]Sheet1!$R$2:$AX$20,33,0)</f>
        <v>#N/A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s="2">
        <v>0</v>
      </c>
      <c r="Z34" t="s">
        <v>9</v>
      </c>
      <c r="AA34" t="s">
        <v>9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t="s">
        <v>9</v>
      </c>
      <c r="AQ34" t="s">
        <v>9</v>
      </c>
      <c r="AR34" t="s">
        <v>9</v>
      </c>
      <c r="CZ34" t="s">
        <v>62</v>
      </c>
    </row>
    <row r="35" spans="1:104" x14ac:dyDescent="0.25">
      <c r="A35" t="s">
        <v>44</v>
      </c>
      <c r="B35" t="s">
        <v>518</v>
      </c>
      <c r="C35" t="s">
        <v>54</v>
      </c>
      <c r="D35" t="s">
        <v>3</v>
      </c>
      <c r="E35" t="s">
        <v>4</v>
      </c>
      <c r="F35" t="s">
        <v>5</v>
      </c>
      <c r="G35" t="s">
        <v>6</v>
      </c>
      <c r="H35" s="2">
        <v>157.78</v>
      </c>
      <c r="I35" s="2">
        <v>10000</v>
      </c>
      <c r="J35" s="2">
        <v>0</v>
      </c>
      <c r="K35" s="2">
        <v>10000</v>
      </c>
      <c r="L35" t="s">
        <v>7</v>
      </c>
      <c r="M35" t="s">
        <v>8</v>
      </c>
      <c r="N35" t="s">
        <v>9</v>
      </c>
      <c r="O35" t="s">
        <v>9</v>
      </c>
      <c r="P35" t="s">
        <v>9</v>
      </c>
      <c r="Q35" t="s">
        <v>55</v>
      </c>
      <c r="R35" t="str">
        <f t="shared" si="1"/>
        <v>121000AAAADIPIKA</v>
      </c>
      <c r="S35" t="e">
        <f>VLOOKUP(R35,[2]Sheet1!$R$2:$AX$20,33,0)</f>
        <v>#N/A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s="2">
        <v>0</v>
      </c>
      <c r="Z35" t="s">
        <v>9</v>
      </c>
      <c r="AA35" t="s">
        <v>9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t="s">
        <v>9</v>
      </c>
      <c r="AQ35" t="s">
        <v>9</v>
      </c>
      <c r="AR35" t="s">
        <v>9</v>
      </c>
      <c r="CZ35" t="s">
        <v>672</v>
      </c>
    </row>
    <row r="36" spans="1:104" x14ac:dyDescent="0.25">
      <c r="A36" t="s">
        <v>44</v>
      </c>
      <c r="B36" t="s">
        <v>518</v>
      </c>
      <c r="C36" t="s">
        <v>99</v>
      </c>
      <c r="D36" t="s">
        <v>3</v>
      </c>
      <c r="E36" t="s">
        <v>4</v>
      </c>
      <c r="F36" t="s">
        <v>5</v>
      </c>
      <c r="G36" t="s">
        <v>6</v>
      </c>
      <c r="H36" s="2">
        <v>100</v>
      </c>
      <c r="I36" s="2">
        <v>100</v>
      </c>
      <c r="J36" s="2">
        <v>0</v>
      </c>
      <c r="K36" s="2">
        <v>100</v>
      </c>
      <c r="L36" t="s">
        <v>27</v>
      </c>
      <c r="M36" t="s">
        <v>8</v>
      </c>
      <c r="N36" t="s">
        <v>9</v>
      </c>
      <c r="O36" t="s">
        <v>9</v>
      </c>
      <c r="P36" t="s">
        <v>9</v>
      </c>
      <c r="Q36" t="s">
        <v>47</v>
      </c>
      <c r="R36" t="str">
        <f t="shared" si="1"/>
        <v>12300020001DIPIKA</v>
      </c>
      <c r="S36" t="e">
        <f>VLOOKUP(R36,[2]Sheet1!$R$2:$AX$20,33,0)</f>
        <v>#N/A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s="2">
        <v>0</v>
      </c>
      <c r="Z36" t="s">
        <v>9</v>
      </c>
      <c r="AA36" t="s">
        <v>9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t="s">
        <v>9</v>
      </c>
      <c r="AQ36" t="s">
        <v>9</v>
      </c>
      <c r="AR36" t="s">
        <v>9</v>
      </c>
      <c r="CZ36" t="s">
        <v>49</v>
      </c>
    </row>
    <row r="37" spans="1:104" x14ac:dyDescent="0.25">
      <c r="A37" t="s">
        <v>44</v>
      </c>
      <c r="B37" t="s">
        <v>519</v>
      </c>
      <c r="C37" t="s">
        <v>54</v>
      </c>
      <c r="D37" t="s">
        <v>3</v>
      </c>
      <c r="E37" t="s">
        <v>4</v>
      </c>
      <c r="F37" t="s">
        <v>5</v>
      </c>
      <c r="G37" t="s">
        <v>6</v>
      </c>
      <c r="H37" s="2">
        <v>40000</v>
      </c>
      <c r="I37" s="2">
        <v>40000</v>
      </c>
      <c r="J37" s="2">
        <v>0</v>
      </c>
      <c r="K37" s="2">
        <v>40000</v>
      </c>
      <c r="L37" t="s">
        <v>27</v>
      </c>
      <c r="M37" t="s">
        <v>8</v>
      </c>
      <c r="N37" t="s">
        <v>9</v>
      </c>
      <c r="O37" t="s">
        <v>9</v>
      </c>
      <c r="P37" t="s">
        <v>9</v>
      </c>
      <c r="Q37" t="s">
        <v>55</v>
      </c>
      <c r="R37" t="str">
        <f t="shared" si="1"/>
        <v>121000AAAADIPIKA</v>
      </c>
      <c r="S37" t="e">
        <f>VLOOKUP(R37,[2]Sheet1!$R$2:$AX$20,33,0)</f>
        <v>#N/A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s="2">
        <v>0</v>
      </c>
      <c r="Z37" t="s">
        <v>9</v>
      </c>
      <c r="AA37" t="s">
        <v>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t="s">
        <v>9</v>
      </c>
      <c r="AQ37" t="s">
        <v>9</v>
      </c>
      <c r="AR37" t="s">
        <v>9</v>
      </c>
      <c r="CZ37" t="s">
        <v>672</v>
      </c>
    </row>
    <row r="38" spans="1:104" x14ac:dyDescent="0.25">
      <c r="A38" t="s">
        <v>44</v>
      </c>
      <c r="B38" t="s">
        <v>520</v>
      </c>
      <c r="C38" t="s">
        <v>54</v>
      </c>
      <c r="D38" t="s">
        <v>3</v>
      </c>
      <c r="E38" t="s">
        <v>4</v>
      </c>
      <c r="F38" t="s">
        <v>5</v>
      </c>
      <c r="G38" t="s">
        <v>6</v>
      </c>
      <c r="H38" s="2">
        <v>306215</v>
      </c>
      <c r="I38" s="2">
        <v>250000</v>
      </c>
      <c r="J38" s="2">
        <v>0</v>
      </c>
      <c r="K38" s="2">
        <v>250000</v>
      </c>
      <c r="L38" t="s">
        <v>521</v>
      </c>
      <c r="M38" t="s">
        <v>8</v>
      </c>
      <c r="N38" t="s">
        <v>9</v>
      </c>
      <c r="O38" t="s">
        <v>9</v>
      </c>
      <c r="P38" t="s">
        <v>9</v>
      </c>
      <c r="Q38" t="s">
        <v>55</v>
      </c>
      <c r="R38" t="str">
        <f t="shared" si="1"/>
        <v>121000AAAADIPIKA</v>
      </c>
      <c r="S38" t="e">
        <f>VLOOKUP(R38,[2]Sheet1!$R$2:$AX$20,33,0)</f>
        <v>#N/A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s="2">
        <v>0</v>
      </c>
      <c r="Z38" t="s">
        <v>9</v>
      </c>
      <c r="AA38" t="s">
        <v>9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t="s">
        <v>9</v>
      </c>
      <c r="AQ38" t="s">
        <v>9</v>
      </c>
      <c r="AR38" t="s">
        <v>9</v>
      </c>
      <c r="CZ38" t="s">
        <v>672</v>
      </c>
    </row>
    <row r="39" spans="1:104" x14ac:dyDescent="0.25">
      <c r="A39" t="s">
        <v>44</v>
      </c>
      <c r="B39" t="s">
        <v>522</v>
      </c>
      <c r="C39" t="s">
        <v>54</v>
      </c>
      <c r="D39" t="s">
        <v>3</v>
      </c>
      <c r="E39" t="s">
        <v>4</v>
      </c>
      <c r="F39" t="s">
        <v>5</v>
      </c>
      <c r="G39" t="s">
        <v>6</v>
      </c>
      <c r="H39" s="2">
        <v>306215</v>
      </c>
      <c r="I39" s="2">
        <v>250000</v>
      </c>
      <c r="J39" s="2">
        <v>0</v>
      </c>
      <c r="K39" s="2">
        <v>250000</v>
      </c>
      <c r="L39" t="s">
        <v>521</v>
      </c>
      <c r="M39" t="s">
        <v>8</v>
      </c>
      <c r="N39" t="s">
        <v>9</v>
      </c>
      <c r="O39" t="s">
        <v>9</v>
      </c>
      <c r="P39" t="s">
        <v>9</v>
      </c>
      <c r="Q39" t="s">
        <v>55</v>
      </c>
      <c r="R39" t="str">
        <f t="shared" si="1"/>
        <v>121000AAAADIPIKA</v>
      </c>
      <c r="S39" t="e">
        <f>VLOOKUP(R39,[2]Sheet1!$R$2:$AX$20,33,0)</f>
        <v>#N/A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s="2">
        <v>0</v>
      </c>
      <c r="Z39" t="s">
        <v>9</v>
      </c>
      <c r="AA39" t="s">
        <v>9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t="s">
        <v>9</v>
      </c>
      <c r="AQ39" t="s">
        <v>9</v>
      </c>
      <c r="AR39" t="s">
        <v>9</v>
      </c>
      <c r="CZ39" t="s">
        <v>672</v>
      </c>
    </row>
    <row r="40" spans="1:104" x14ac:dyDescent="0.25">
      <c r="A40" t="s">
        <v>44</v>
      </c>
      <c r="B40" t="s">
        <v>523</v>
      </c>
      <c r="C40" t="s">
        <v>54</v>
      </c>
      <c r="D40" t="s">
        <v>3</v>
      </c>
      <c r="E40" t="s">
        <v>4</v>
      </c>
      <c r="F40" t="s">
        <v>5</v>
      </c>
      <c r="G40" t="s">
        <v>6</v>
      </c>
      <c r="H40" s="2">
        <v>306215</v>
      </c>
      <c r="I40" s="2">
        <v>250000</v>
      </c>
      <c r="J40" s="2">
        <v>0</v>
      </c>
      <c r="K40" s="2">
        <v>250000</v>
      </c>
      <c r="L40" t="s">
        <v>521</v>
      </c>
      <c r="M40" t="s">
        <v>8</v>
      </c>
      <c r="N40" t="s">
        <v>9</v>
      </c>
      <c r="O40" t="s">
        <v>9</v>
      </c>
      <c r="P40" t="s">
        <v>9</v>
      </c>
      <c r="Q40" t="s">
        <v>55</v>
      </c>
      <c r="R40" t="str">
        <f t="shared" si="1"/>
        <v>121000AAAADIPIKA</v>
      </c>
      <c r="S40" t="e">
        <f>VLOOKUP(R40,[2]Sheet1!$R$2:$AX$20,33,0)</f>
        <v>#N/A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s="2">
        <v>0</v>
      </c>
      <c r="Z40" t="s">
        <v>9</v>
      </c>
      <c r="AA40" t="s">
        <v>9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t="s">
        <v>9</v>
      </c>
      <c r="AQ40" t="s">
        <v>9</v>
      </c>
      <c r="AR40" t="s">
        <v>9</v>
      </c>
      <c r="CZ40" t="s">
        <v>672</v>
      </c>
    </row>
    <row r="41" spans="1:104" x14ac:dyDescent="0.25">
      <c r="A41" t="s">
        <v>44</v>
      </c>
      <c r="B41" t="s">
        <v>524</v>
      </c>
      <c r="C41" t="s">
        <v>54</v>
      </c>
      <c r="D41" t="s">
        <v>3</v>
      </c>
      <c r="E41" t="s">
        <v>4</v>
      </c>
      <c r="F41" t="s">
        <v>5</v>
      </c>
      <c r="G41" t="s">
        <v>6</v>
      </c>
      <c r="H41" s="2">
        <v>612430</v>
      </c>
      <c r="I41" s="2">
        <v>500000</v>
      </c>
      <c r="J41" s="2">
        <v>0</v>
      </c>
      <c r="K41" s="2">
        <v>500000</v>
      </c>
      <c r="L41" t="s">
        <v>521</v>
      </c>
      <c r="M41" t="s">
        <v>8</v>
      </c>
      <c r="N41" t="s">
        <v>9</v>
      </c>
      <c r="O41" t="s">
        <v>9</v>
      </c>
      <c r="P41" t="s">
        <v>9</v>
      </c>
      <c r="Q41" t="s">
        <v>55</v>
      </c>
      <c r="R41" t="str">
        <f t="shared" si="1"/>
        <v>121000AAAADIPIKA</v>
      </c>
      <c r="S41" t="e">
        <f>VLOOKUP(R41,[2]Sheet1!$R$2:$AX$20,33,0)</f>
        <v>#N/A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s="2">
        <v>0</v>
      </c>
      <c r="Z41" t="s">
        <v>9</v>
      </c>
      <c r="AA41" t="s">
        <v>9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t="s">
        <v>9</v>
      </c>
      <c r="AQ41" t="s">
        <v>9</v>
      </c>
      <c r="AR41" t="s">
        <v>9</v>
      </c>
      <c r="CZ41" t="s">
        <v>672</v>
      </c>
    </row>
    <row r="42" spans="1:104" x14ac:dyDescent="0.25">
      <c r="A42" t="s">
        <v>44</v>
      </c>
      <c r="B42" t="s">
        <v>525</v>
      </c>
      <c r="C42" t="s">
        <v>54</v>
      </c>
      <c r="D42" t="s">
        <v>3</v>
      </c>
      <c r="E42" t="s">
        <v>4</v>
      </c>
      <c r="F42" t="s">
        <v>5</v>
      </c>
      <c r="G42" t="s">
        <v>6</v>
      </c>
      <c r="H42" s="2">
        <v>612430</v>
      </c>
      <c r="I42" s="2">
        <v>500000</v>
      </c>
      <c r="J42" s="2">
        <v>0</v>
      </c>
      <c r="K42" s="2">
        <v>500000</v>
      </c>
      <c r="L42" t="s">
        <v>521</v>
      </c>
      <c r="M42" t="s">
        <v>8</v>
      </c>
      <c r="N42" t="s">
        <v>9</v>
      </c>
      <c r="O42" t="s">
        <v>9</v>
      </c>
      <c r="P42" t="s">
        <v>9</v>
      </c>
      <c r="Q42" t="s">
        <v>55</v>
      </c>
      <c r="R42" t="str">
        <f t="shared" si="1"/>
        <v>121000AAAADIPIKA</v>
      </c>
      <c r="S42" t="e">
        <f>VLOOKUP(R42,[2]Sheet1!$R$2:$AX$20,33,0)</f>
        <v>#N/A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s="2">
        <v>0</v>
      </c>
      <c r="Z42" t="s">
        <v>9</v>
      </c>
      <c r="AA42" t="s">
        <v>9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t="s">
        <v>9</v>
      </c>
      <c r="AQ42" t="s">
        <v>9</v>
      </c>
      <c r="AR42" t="s">
        <v>9</v>
      </c>
      <c r="CZ42" t="s">
        <v>672</v>
      </c>
    </row>
    <row r="43" spans="1:104" x14ac:dyDescent="0.25">
      <c r="A43" t="s">
        <v>44</v>
      </c>
      <c r="B43" t="s">
        <v>526</v>
      </c>
      <c r="C43" t="s">
        <v>54</v>
      </c>
      <c r="D43" t="s">
        <v>3</v>
      </c>
      <c r="E43" t="s">
        <v>4</v>
      </c>
      <c r="F43" t="s">
        <v>5</v>
      </c>
      <c r="G43" t="s">
        <v>6</v>
      </c>
      <c r="H43" s="2">
        <v>612430</v>
      </c>
      <c r="I43" s="2">
        <v>500000</v>
      </c>
      <c r="J43" s="2">
        <v>0</v>
      </c>
      <c r="K43" s="2">
        <v>500000</v>
      </c>
      <c r="L43" t="s">
        <v>521</v>
      </c>
      <c r="M43" t="s">
        <v>8</v>
      </c>
      <c r="N43" t="s">
        <v>9</v>
      </c>
      <c r="O43" t="s">
        <v>9</v>
      </c>
      <c r="P43" t="s">
        <v>9</v>
      </c>
      <c r="Q43" t="s">
        <v>55</v>
      </c>
      <c r="R43" t="str">
        <f t="shared" si="1"/>
        <v>121000AAAADIPIKA</v>
      </c>
      <c r="S43" t="e">
        <f>VLOOKUP(R43,[2]Sheet1!$R$2:$AX$20,33,0)</f>
        <v>#N/A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s="2">
        <v>0</v>
      </c>
      <c r="Z43" t="s">
        <v>9</v>
      </c>
      <c r="AA43" t="s">
        <v>9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t="s">
        <v>9</v>
      </c>
      <c r="AQ43" t="s">
        <v>9</v>
      </c>
      <c r="AR43" t="s">
        <v>9</v>
      </c>
      <c r="CZ43" t="s">
        <v>672</v>
      </c>
    </row>
    <row r="44" spans="1:104" x14ac:dyDescent="0.25">
      <c r="A44" t="s">
        <v>44</v>
      </c>
      <c r="B44" t="s">
        <v>527</v>
      </c>
      <c r="C44" t="s">
        <v>54</v>
      </c>
      <c r="D44" t="s">
        <v>3</v>
      </c>
      <c r="E44" t="s">
        <v>4</v>
      </c>
      <c r="F44" t="s">
        <v>5</v>
      </c>
      <c r="G44" t="s">
        <v>6</v>
      </c>
      <c r="H44" s="2">
        <v>612430</v>
      </c>
      <c r="I44" s="2">
        <v>500000</v>
      </c>
      <c r="J44" s="2">
        <v>0</v>
      </c>
      <c r="K44" s="2">
        <v>500000</v>
      </c>
      <c r="L44" t="s">
        <v>521</v>
      </c>
      <c r="M44" t="s">
        <v>8</v>
      </c>
      <c r="N44" t="s">
        <v>9</v>
      </c>
      <c r="O44" t="s">
        <v>9</v>
      </c>
      <c r="P44" t="s">
        <v>9</v>
      </c>
      <c r="Q44" t="s">
        <v>55</v>
      </c>
      <c r="R44" t="str">
        <f t="shared" si="1"/>
        <v>121000AAAADIPIKA</v>
      </c>
      <c r="S44" t="e">
        <f>VLOOKUP(R44,[2]Sheet1!$R$2:$AX$20,33,0)</f>
        <v>#N/A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s="2">
        <v>0</v>
      </c>
      <c r="Z44" t="s">
        <v>9</v>
      </c>
      <c r="AA44" t="s">
        <v>9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t="s">
        <v>9</v>
      </c>
      <c r="AQ44" t="s">
        <v>9</v>
      </c>
      <c r="AR44" t="s">
        <v>9</v>
      </c>
      <c r="CZ44" t="s">
        <v>672</v>
      </c>
    </row>
    <row r="45" spans="1:104" x14ac:dyDescent="0.25">
      <c r="A45" t="s">
        <v>44</v>
      </c>
      <c r="B45" t="s">
        <v>528</v>
      </c>
      <c r="C45" t="s">
        <v>54</v>
      </c>
      <c r="D45" t="s">
        <v>3</v>
      </c>
      <c r="E45" t="s">
        <v>4</v>
      </c>
      <c r="F45" t="s">
        <v>5</v>
      </c>
      <c r="G45" t="s">
        <v>6</v>
      </c>
      <c r="H45" s="2">
        <v>157.78</v>
      </c>
      <c r="I45" s="2">
        <v>10000</v>
      </c>
      <c r="J45" s="2">
        <v>0</v>
      </c>
      <c r="K45" s="2">
        <v>10000</v>
      </c>
      <c r="L45" t="s">
        <v>7</v>
      </c>
      <c r="M45" t="s">
        <v>9</v>
      </c>
      <c r="N45" t="s">
        <v>9</v>
      </c>
      <c r="O45" t="s">
        <v>9</v>
      </c>
      <c r="P45" t="s">
        <v>9</v>
      </c>
      <c r="Q45" t="s">
        <v>55</v>
      </c>
      <c r="R45" t="str">
        <f t="shared" si="1"/>
        <v>121000AAAADIPIKA</v>
      </c>
      <c r="S45" t="e">
        <f>VLOOKUP(R45,[2]Sheet1!$R$2:$AX$20,33,0)</f>
        <v>#N/A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s="2">
        <v>0</v>
      </c>
      <c r="Z45" t="s">
        <v>9</v>
      </c>
      <c r="AA45" t="s">
        <v>9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t="s">
        <v>9</v>
      </c>
      <c r="AQ45" t="s">
        <v>9</v>
      </c>
      <c r="AR45" t="s">
        <v>9</v>
      </c>
      <c r="CZ45" t="s">
        <v>672</v>
      </c>
    </row>
    <row r="46" spans="1:104" x14ac:dyDescent="0.25">
      <c r="A46" t="s">
        <v>44</v>
      </c>
      <c r="B46" t="s">
        <v>529</v>
      </c>
      <c r="C46" t="s">
        <v>54</v>
      </c>
      <c r="D46" t="s">
        <v>3</v>
      </c>
      <c r="E46" t="s">
        <v>4</v>
      </c>
      <c r="F46" t="s">
        <v>5</v>
      </c>
      <c r="G46" t="s">
        <v>6</v>
      </c>
      <c r="H46" s="2">
        <v>157.78</v>
      </c>
      <c r="I46" s="2">
        <v>10000</v>
      </c>
      <c r="J46" s="2">
        <v>0</v>
      </c>
      <c r="K46" s="2">
        <v>10000</v>
      </c>
      <c r="L46" t="s">
        <v>7</v>
      </c>
      <c r="M46" t="s">
        <v>9</v>
      </c>
      <c r="N46" t="s">
        <v>9</v>
      </c>
      <c r="O46" t="s">
        <v>9</v>
      </c>
      <c r="P46" t="s">
        <v>9</v>
      </c>
      <c r="Q46" t="s">
        <v>55</v>
      </c>
      <c r="R46" t="str">
        <f t="shared" si="1"/>
        <v>121000AAAADIPIKA</v>
      </c>
      <c r="S46" t="e">
        <f>VLOOKUP(R46,[2]Sheet1!$R$2:$AX$20,33,0)</f>
        <v>#N/A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s="2">
        <v>0</v>
      </c>
      <c r="Z46" t="s">
        <v>9</v>
      </c>
      <c r="AA46" t="s">
        <v>9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t="s">
        <v>9</v>
      </c>
      <c r="AQ46" t="s">
        <v>9</v>
      </c>
      <c r="AR46" t="s">
        <v>9</v>
      </c>
      <c r="CZ46" t="s">
        <v>672</v>
      </c>
    </row>
    <row r="47" spans="1:104" x14ac:dyDescent="0.25">
      <c r="A47" t="s">
        <v>44</v>
      </c>
      <c r="B47" t="s">
        <v>530</v>
      </c>
      <c r="C47" t="s">
        <v>54</v>
      </c>
      <c r="D47" t="s">
        <v>3</v>
      </c>
      <c r="E47" t="s">
        <v>4</v>
      </c>
      <c r="F47" t="s">
        <v>5</v>
      </c>
      <c r="G47" t="s">
        <v>6</v>
      </c>
      <c r="H47" s="2">
        <v>157.78</v>
      </c>
      <c r="I47" s="2">
        <v>10000</v>
      </c>
      <c r="J47" s="2">
        <v>0</v>
      </c>
      <c r="K47" s="2">
        <v>10000</v>
      </c>
      <c r="L47" t="s">
        <v>7</v>
      </c>
      <c r="M47" t="s">
        <v>9</v>
      </c>
      <c r="N47" t="s">
        <v>9</v>
      </c>
      <c r="O47" t="s">
        <v>9</v>
      </c>
      <c r="P47" t="s">
        <v>9</v>
      </c>
      <c r="Q47" t="s">
        <v>55</v>
      </c>
      <c r="R47" t="str">
        <f t="shared" si="1"/>
        <v>121000AAAADIPIKA</v>
      </c>
      <c r="S47" t="e">
        <f>VLOOKUP(R47,[2]Sheet1!$R$2:$AX$20,33,0)</f>
        <v>#N/A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s="2">
        <v>0</v>
      </c>
      <c r="Z47" t="s">
        <v>9</v>
      </c>
      <c r="AA47" t="s">
        <v>9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t="s">
        <v>9</v>
      </c>
      <c r="AQ47" t="s">
        <v>9</v>
      </c>
      <c r="AR47" t="s">
        <v>9</v>
      </c>
      <c r="CZ47" t="s">
        <v>672</v>
      </c>
    </row>
    <row r="48" spans="1:104" x14ac:dyDescent="0.25">
      <c r="A48" t="s">
        <v>44</v>
      </c>
      <c r="B48" t="s">
        <v>531</v>
      </c>
      <c r="C48" t="s">
        <v>54</v>
      </c>
      <c r="D48" t="s">
        <v>3</v>
      </c>
      <c r="E48" t="s">
        <v>4</v>
      </c>
      <c r="F48" t="s">
        <v>5</v>
      </c>
      <c r="G48" t="s">
        <v>6</v>
      </c>
      <c r="H48" s="2">
        <v>1000</v>
      </c>
      <c r="I48" s="2">
        <v>1000</v>
      </c>
      <c r="J48" s="2">
        <v>0</v>
      </c>
      <c r="K48" s="2">
        <v>1000</v>
      </c>
      <c r="L48" t="s">
        <v>27</v>
      </c>
      <c r="M48" t="s">
        <v>8</v>
      </c>
      <c r="N48" t="s">
        <v>9</v>
      </c>
      <c r="O48" t="s">
        <v>9</v>
      </c>
      <c r="P48" t="s">
        <v>9</v>
      </c>
      <c r="Q48" t="s">
        <v>47</v>
      </c>
      <c r="R48" t="str">
        <f t="shared" si="1"/>
        <v>123000HSBCDIPIKA</v>
      </c>
      <c r="S48" t="e">
        <f>VLOOKUP(R48,[2]Sheet1!$R$2:$AX$20,33,0)</f>
        <v>#N/A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s="2">
        <v>0</v>
      </c>
      <c r="Z48" t="s">
        <v>9</v>
      </c>
      <c r="AA48" t="s">
        <v>9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t="s">
        <v>9</v>
      </c>
      <c r="AQ48" t="s">
        <v>9</v>
      </c>
      <c r="AR48" t="s">
        <v>9</v>
      </c>
      <c r="CZ48" t="s">
        <v>673</v>
      </c>
    </row>
    <row r="49" spans="1:104" x14ac:dyDescent="0.25">
      <c r="A49" t="s">
        <v>44</v>
      </c>
      <c r="B49" t="s">
        <v>532</v>
      </c>
      <c r="C49" t="s">
        <v>54</v>
      </c>
      <c r="D49" t="s">
        <v>3</v>
      </c>
      <c r="E49" t="s">
        <v>4</v>
      </c>
      <c r="F49" t="s">
        <v>5</v>
      </c>
      <c r="G49" t="s">
        <v>6</v>
      </c>
      <c r="H49" s="2">
        <v>1000</v>
      </c>
      <c r="I49" s="2">
        <v>1000</v>
      </c>
      <c r="J49" s="2">
        <v>0</v>
      </c>
      <c r="K49" s="2">
        <v>1000</v>
      </c>
      <c r="L49" t="s">
        <v>27</v>
      </c>
      <c r="M49" t="s">
        <v>8</v>
      </c>
      <c r="N49" t="s">
        <v>9</v>
      </c>
      <c r="O49" t="s">
        <v>9</v>
      </c>
      <c r="P49" t="s">
        <v>9</v>
      </c>
      <c r="Q49" t="s">
        <v>47</v>
      </c>
      <c r="R49" t="str">
        <f t="shared" si="1"/>
        <v>123000HSBCDIPIKA</v>
      </c>
      <c r="S49" t="e">
        <f>VLOOKUP(R49,[2]Sheet1!$R$2:$AX$20,33,0)</f>
        <v>#N/A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s="2">
        <v>0</v>
      </c>
      <c r="Z49" t="s">
        <v>9</v>
      </c>
      <c r="AA49" t="s">
        <v>9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t="s">
        <v>9</v>
      </c>
      <c r="AQ49" t="s">
        <v>9</v>
      </c>
      <c r="AR49" t="s">
        <v>9</v>
      </c>
      <c r="CZ49" t="s">
        <v>673</v>
      </c>
    </row>
    <row r="50" spans="1:104" x14ac:dyDescent="0.25">
      <c r="A50" t="s">
        <v>44</v>
      </c>
      <c r="B50" t="s">
        <v>533</v>
      </c>
      <c r="C50" t="s">
        <v>54</v>
      </c>
      <c r="D50" t="s">
        <v>3</v>
      </c>
      <c r="E50" t="s">
        <v>4</v>
      </c>
      <c r="F50" t="s">
        <v>5</v>
      </c>
      <c r="G50" t="s">
        <v>6</v>
      </c>
      <c r="H50" s="2">
        <v>2000</v>
      </c>
      <c r="I50" s="2">
        <v>2000</v>
      </c>
      <c r="J50" s="2">
        <v>0</v>
      </c>
      <c r="K50" s="2">
        <v>2000</v>
      </c>
      <c r="L50" t="s">
        <v>27</v>
      </c>
      <c r="M50" t="s">
        <v>8</v>
      </c>
      <c r="N50" t="s">
        <v>534</v>
      </c>
      <c r="O50" t="s">
        <v>9</v>
      </c>
      <c r="P50" t="s">
        <v>9</v>
      </c>
      <c r="Q50" t="s">
        <v>535</v>
      </c>
      <c r="R50" t="str">
        <f t="shared" si="1"/>
        <v>122000182DIPIKA</v>
      </c>
      <c r="S50" t="e">
        <f>VLOOKUP(R50,[2]Sheet1!$R$2:$AX$20,33,0)</f>
        <v>#N/A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s="2">
        <v>0</v>
      </c>
      <c r="Z50" t="s">
        <v>9</v>
      </c>
      <c r="AA50" t="s">
        <v>9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t="s">
        <v>9</v>
      </c>
      <c r="AQ50" t="s">
        <v>9</v>
      </c>
      <c r="AR50" t="s">
        <v>9</v>
      </c>
      <c r="CZ50" t="s">
        <v>674</v>
      </c>
    </row>
    <row r="51" spans="1:104" x14ac:dyDescent="0.25">
      <c r="A51" t="s">
        <v>536</v>
      </c>
      <c r="B51" t="s">
        <v>513</v>
      </c>
      <c r="C51" t="s">
        <v>99</v>
      </c>
      <c r="D51" t="s">
        <v>3</v>
      </c>
      <c r="E51" t="s">
        <v>4</v>
      </c>
      <c r="F51" t="s">
        <v>5</v>
      </c>
      <c r="G51" t="s">
        <v>6</v>
      </c>
      <c r="H51" s="2">
        <v>1000</v>
      </c>
      <c r="I51" s="2">
        <v>1000</v>
      </c>
      <c r="J51" s="2">
        <v>0</v>
      </c>
      <c r="K51" s="2">
        <v>1000</v>
      </c>
      <c r="L51" t="s">
        <v>7</v>
      </c>
      <c r="M51" t="s">
        <v>8</v>
      </c>
      <c r="N51" t="s">
        <v>9</v>
      </c>
      <c r="O51" t="s">
        <v>9</v>
      </c>
      <c r="P51" t="s">
        <v>9</v>
      </c>
      <c r="Q51" t="s">
        <v>537</v>
      </c>
      <c r="R51" t="str">
        <f t="shared" si="1"/>
        <v>1001001100000027DIPIKA</v>
      </c>
      <c r="S51" t="e">
        <f>VLOOKUP(R51,[2]Sheet1!$R$2:$AX$20,33,0)</f>
        <v>#N/A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s="2">
        <v>0</v>
      </c>
      <c r="Z51" t="s">
        <v>9</v>
      </c>
      <c r="AA51" t="s">
        <v>9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t="s">
        <v>9</v>
      </c>
      <c r="AQ51" t="s">
        <v>9</v>
      </c>
      <c r="AR51" t="s">
        <v>9</v>
      </c>
      <c r="CZ51" t="s">
        <v>675</v>
      </c>
    </row>
    <row r="52" spans="1:104" x14ac:dyDescent="0.25">
      <c r="A52" t="s">
        <v>536</v>
      </c>
      <c r="B52" t="s">
        <v>515</v>
      </c>
      <c r="C52" t="s">
        <v>99</v>
      </c>
      <c r="D52" t="s">
        <v>3</v>
      </c>
      <c r="E52" t="s">
        <v>4</v>
      </c>
      <c r="F52" t="s">
        <v>5</v>
      </c>
      <c r="G52" t="s">
        <v>6</v>
      </c>
      <c r="H52" s="2">
        <v>150000</v>
      </c>
      <c r="I52" s="2">
        <v>150000</v>
      </c>
      <c r="J52" s="2">
        <v>0</v>
      </c>
      <c r="K52" s="2">
        <v>150000</v>
      </c>
      <c r="L52" t="s">
        <v>7</v>
      </c>
      <c r="M52" t="s">
        <v>9</v>
      </c>
      <c r="N52" t="s">
        <v>9</v>
      </c>
      <c r="O52" t="s">
        <v>9</v>
      </c>
      <c r="P52" t="s">
        <v>9</v>
      </c>
      <c r="Q52" t="s">
        <v>537</v>
      </c>
      <c r="R52" t="str">
        <f t="shared" si="1"/>
        <v>1001001100000027DIPIKA</v>
      </c>
      <c r="S52" t="e">
        <f>VLOOKUP(R52,[2]Sheet1!$R$2:$AX$20,33,0)</f>
        <v>#N/A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s="2">
        <v>0</v>
      </c>
      <c r="Z52" t="s">
        <v>9</v>
      </c>
      <c r="AA52" t="s">
        <v>9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t="s">
        <v>9</v>
      </c>
      <c r="AQ52" t="s">
        <v>9</v>
      </c>
      <c r="AR52" t="s">
        <v>9</v>
      </c>
      <c r="CZ52" t="s">
        <v>675</v>
      </c>
    </row>
    <row r="53" spans="1:104" x14ac:dyDescent="0.25">
      <c r="A53" t="s">
        <v>536</v>
      </c>
      <c r="B53" t="s">
        <v>516</v>
      </c>
      <c r="C53" t="s">
        <v>99</v>
      </c>
      <c r="D53" t="s">
        <v>3</v>
      </c>
      <c r="E53" t="s">
        <v>4</v>
      </c>
      <c r="F53" t="s">
        <v>5</v>
      </c>
      <c r="G53" t="s">
        <v>6</v>
      </c>
      <c r="H53" s="2">
        <v>450000</v>
      </c>
      <c r="I53" s="2">
        <v>450000</v>
      </c>
      <c r="J53" s="2">
        <v>0</v>
      </c>
      <c r="K53" s="2">
        <v>450000</v>
      </c>
      <c r="L53" t="s">
        <v>7</v>
      </c>
      <c r="M53" t="s">
        <v>9</v>
      </c>
      <c r="N53" t="s">
        <v>9</v>
      </c>
      <c r="O53" t="s">
        <v>9</v>
      </c>
      <c r="P53" t="s">
        <v>9</v>
      </c>
      <c r="Q53" t="s">
        <v>537</v>
      </c>
      <c r="R53" t="str">
        <f t="shared" si="1"/>
        <v>1001001100000027DIPIKA</v>
      </c>
      <c r="S53" t="e">
        <f>VLOOKUP(R53,[2]Sheet1!$R$2:$AX$20,33,0)</f>
        <v>#N/A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s="2">
        <v>0</v>
      </c>
      <c r="Z53" t="s">
        <v>9</v>
      </c>
      <c r="AA53" t="s">
        <v>9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t="s">
        <v>9</v>
      </c>
      <c r="AQ53" t="s">
        <v>9</v>
      </c>
      <c r="AR53" t="s">
        <v>9</v>
      </c>
      <c r="CZ53" t="s">
        <v>675</v>
      </c>
    </row>
    <row r="54" spans="1:104" x14ac:dyDescent="0.25">
      <c r="A54" t="s">
        <v>538</v>
      </c>
      <c r="B54" t="s">
        <v>513</v>
      </c>
      <c r="C54" t="s">
        <v>32</v>
      </c>
      <c r="D54" t="s">
        <v>3</v>
      </c>
      <c r="E54" t="s">
        <v>4</v>
      </c>
      <c r="F54" t="s">
        <v>5</v>
      </c>
      <c r="G54" t="s">
        <v>6</v>
      </c>
      <c r="H54" s="2">
        <v>2000</v>
      </c>
      <c r="I54" s="2">
        <v>2000</v>
      </c>
      <c r="J54" s="2">
        <v>0</v>
      </c>
      <c r="K54" s="2">
        <v>2000</v>
      </c>
      <c r="L54" t="s">
        <v>7</v>
      </c>
      <c r="M54" t="s">
        <v>8</v>
      </c>
      <c r="N54" t="s">
        <v>9</v>
      </c>
      <c r="O54" t="s">
        <v>9</v>
      </c>
      <c r="P54" t="s">
        <v>9</v>
      </c>
      <c r="Q54" t="s">
        <v>10</v>
      </c>
      <c r="R54" t="str">
        <f t="shared" si="1"/>
        <v>24430000240000001DIPIKA</v>
      </c>
      <c r="S54" t="e">
        <f>VLOOKUP(R54,[2]Sheet1!$R$2:$AX$20,33,0)</f>
        <v>#N/A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s="2">
        <v>0</v>
      </c>
      <c r="Z54" t="s">
        <v>9</v>
      </c>
      <c r="AA54" t="s">
        <v>9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t="s">
        <v>9</v>
      </c>
      <c r="AQ54" t="s">
        <v>9</v>
      </c>
      <c r="AR54" t="s">
        <v>9</v>
      </c>
      <c r="CZ54" t="s">
        <v>676</v>
      </c>
    </row>
    <row r="55" spans="1:104" x14ac:dyDescent="0.25">
      <c r="A55" t="s">
        <v>538</v>
      </c>
      <c r="B55" t="s">
        <v>515</v>
      </c>
      <c r="C55" t="s">
        <v>32</v>
      </c>
      <c r="D55" t="s">
        <v>3</v>
      </c>
      <c r="E55" t="s">
        <v>4</v>
      </c>
      <c r="F55" t="s">
        <v>5</v>
      </c>
      <c r="G55" t="s">
        <v>6</v>
      </c>
      <c r="H55" s="2">
        <v>3000</v>
      </c>
      <c r="I55" s="2">
        <v>3000</v>
      </c>
      <c r="J55" s="2">
        <v>0</v>
      </c>
      <c r="K55" s="2">
        <v>3000</v>
      </c>
      <c r="L55" t="s">
        <v>7</v>
      </c>
      <c r="M55" t="s">
        <v>8</v>
      </c>
      <c r="N55" t="s">
        <v>9</v>
      </c>
      <c r="O55" t="s">
        <v>9</v>
      </c>
      <c r="P55" t="s">
        <v>9</v>
      </c>
      <c r="Q55" t="s">
        <v>10</v>
      </c>
      <c r="R55" t="str">
        <f t="shared" si="1"/>
        <v>24430000240000001DIPIKA</v>
      </c>
      <c r="S55" t="e">
        <f>VLOOKUP(R55,[2]Sheet1!$R$2:$AX$20,33,0)</f>
        <v>#N/A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s="2">
        <v>0</v>
      </c>
      <c r="Z55" t="s">
        <v>9</v>
      </c>
      <c r="AA55" t="s">
        <v>9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t="s">
        <v>9</v>
      </c>
      <c r="AQ55" t="s">
        <v>9</v>
      </c>
      <c r="AR55" t="s">
        <v>9</v>
      </c>
      <c r="CZ55" t="s">
        <v>676</v>
      </c>
    </row>
    <row r="56" spans="1:104" x14ac:dyDescent="0.25">
      <c r="A56" t="s">
        <v>539</v>
      </c>
      <c r="B56" t="s">
        <v>513</v>
      </c>
      <c r="C56" t="s">
        <v>99</v>
      </c>
      <c r="D56" t="s">
        <v>3</v>
      </c>
      <c r="E56" t="s">
        <v>4</v>
      </c>
      <c r="F56" t="s">
        <v>5</v>
      </c>
      <c r="G56" t="s">
        <v>6</v>
      </c>
      <c r="H56" s="2">
        <v>10000</v>
      </c>
      <c r="I56" s="2">
        <v>10000</v>
      </c>
      <c r="J56" s="2">
        <v>0</v>
      </c>
      <c r="K56" s="2">
        <v>10000</v>
      </c>
      <c r="L56" t="s">
        <v>7</v>
      </c>
      <c r="M56" t="s">
        <v>8</v>
      </c>
      <c r="N56" t="s">
        <v>540</v>
      </c>
      <c r="O56" t="s">
        <v>9</v>
      </c>
      <c r="P56" t="s">
        <v>9</v>
      </c>
      <c r="Q56" t="s">
        <v>541</v>
      </c>
      <c r="R56" t="str">
        <f t="shared" si="1"/>
        <v>133610210000042DIPIKA</v>
      </c>
      <c r="S56" t="e">
        <f>VLOOKUP(R56,[2]Sheet1!$R$2:$AX$20,33,0)</f>
        <v>#N/A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s="2">
        <v>0</v>
      </c>
      <c r="Z56" t="s">
        <v>9</v>
      </c>
      <c r="AA56" t="s">
        <v>9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t="s">
        <v>9</v>
      </c>
      <c r="AQ56" t="s">
        <v>9</v>
      </c>
      <c r="AR56" t="s">
        <v>9</v>
      </c>
      <c r="CZ56" t="s">
        <v>677</v>
      </c>
    </row>
    <row r="57" spans="1:104" x14ac:dyDescent="0.25">
      <c r="A57" t="s">
        <v>539</v>
      </c>
      <c r="B57" t="s">
        <v>515</v>
      </c>
      <c r="C57" t="s">
        <v>99</v>
      </c>
      <c r="D57" t="s">
        <v>3</v>
      </c>
      <c r="E57" t="s">
        <v>4</v>
      </c>
      <c r="F57" t="s">
        <v>5</v>
      </c>
      <c r="G57" t="s">
        <v>6</v>
      </c>
      <c r="H57" s="2">
        <v>1999</v>
      </c>
      <c r="I57" s="2">
        <v>1999</v>
      </c>
      <c r="J57" s="2">
        <v>0</v>
      </c>
      <c r="K57" s="2">
        <v>1999</v>
      </c>
      <c r="L57" t="s">
        <v>7</v>
      </c>
      <c r="M57" t="s">
        <v>8</v>
      </c>
      <c r="N57" t="s">
        <v>540</v>
      </c>
      <c r="O57" t="s">
        <v>9</v>
      </c>
      <c r="P57" t="s">
        <v>9</v>
      </c>
      <c r="Q57" t="s">
        <v>541</v>
      </c>
      <c r="R57" t="str">
        <f t="shared" si="1"/>
        <v>133610210000042DIPIKA</v>
      </c>
      <c r="S57" t="e">
        <f>VLOOKUP(R57,[2]Sheet1!$R$2:$AX$20,33,0)</f>
        <v>#N/A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s="2">
        <v>0</v>
      </c>
      <c r="Z57" t="s">
        <v>9</v>
      </c>
      <c r="AA57" t="s">
        <v>9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t="s">
        <v>9</v>
      </c>
      <c r="AQ57" t="s">
        <v>9</v>
      </c>
      <c r="AR57" t="s">
        <v>9</v>
      </c>
      <c r="CZ57" t="s">
        <v>677</v>
      </c>
    </row>
    <row r="58" spans="1:104" x14ac:dyDescent="0.25">
      <c r="A58" t="s">
        <v>539</v>
      </c>
      <c r="B58" t="s">
        <v>516</v>
      </c>
      <c r="C58" t="s">
        <v>99</v>
      </c>
      <c r="D58" t="s">
        <v>3</v>
      </c>
      <c r="E58" t="s">
        <v>4</v>
      </c>
      <c r="F58" t="s">
        <v>5</v>
      </c>
      <c r="G58" t="s">
        <v>6</v>
      </c>
      <c r="H58" s="2">
        <v>45000</v>
      </c>
      <c r="I58" s="2">
        <v>45000</v>
      </c>
      <c r="J58" s="2">
        <v>0</v>
      </c>
      <c r="K58" s="2">
        <v>45000</v>
      </c>
      <c r="L58" t="s">
        <v>7</v>
      </c>
      <c r="M58" t="s">
        <v>8</v>
      </c>
      <c r="N58" t="s">
        <v>107</v>
      </c>
      <c r="O58" t="s">
        <v>9</v>
      </c>
      <c r="P58" t="s">
        <v>9</v>
      </c>
      <c r="Q58" t="s">
        <v>541</v>
      </c>
      <c r="R58" t="str">
        <f t="shared" si="1"/>
        <v>133610210000042DIPIKA</v>
      </c>
      <c r="S58" t="e">
        <f>VLOOKUP(R58,[2]Sheet1!$R$2:$AX$20,33,0)</f>
        <v>#N/A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s="2">
        <v>0</v>
      </c>
      <c r="Z58" t="s">
        <v>9</v>
      </c>
      <c r="AA58" t="s">
        <v>9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t="s">
        <v>9</v>
      </c>
      <c r="AQ58" t="s">
        <v>9</v>
      </c>
      <c r="AR58" t="s">
        <v>9</v>
      </c>
      <c r="CZ58" t="s">
        <v>677</v>
      </c>
    </row>
    <row r="59" spans="1:104" x14ac:dyDescent="0.25">
      <c r="A59" t="s">
        <v>74</v>
      </c>
      <c r="B59" t="s">
        <v>513</v>
      </c>
      <c r="C59" t="s">
        <v>54</v>
      </c>
      <c r="D59" t="s">
        <v>3</v>
      </c>
      <c r="E59" t="s">
        <v>4</v>
      </c>
      <c r="F59" t="s">
        <v>5</v>
      </c>
      <c r="G59" t="s">
        <v>6</v>
      </c>
      <c r="H59" s="2">
        <v>200000</v>
      </c>
      <c r="I59" s="2">
        <v>200000</v>
      </c>
      <c r="J59" s="2">
        <v>0</v>
      </c>
      <c r="K59" s="2">
        <v>200000</v>
      </c>
      <c r="L59" t="s">
        <v>7</v>
      </c>
      <c r="M59" t="s">
        <v>8</v>
      </c>
      <c r="N59" t="s">
        <v>542</v>
      </c>
      <c r="O59" t="s">
        <v>9</v>
      </c>
      <c r="P59" t="s">
        <v>9</v>
      </c>
      <c r="Q59" t="s">
        <v>543</v>
      </c>
      <c r="R59" t="str">
        <f t="shared" si="1"/>
        <v>24600000220000021DIPIKA</v>
      </c>
      <c r="S59" t="e">
        <f>VLOOKUP(R59,[2]Sheet1!$R$2:$AX$20,33,0)</f>
        <v>#N/A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s="2">
        <v>0</v>
      </c>
      <c r="Z59" t="s">
        <v>9</v>
      </c>
      <c r="AA59" t="s">
        <v>9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t="s">
        <v>9</v>
      </c>
      <c r="AQ59" t="s">
        <v>9</v>
      </c>
      <c r="AR59" t="s">
        <v>9</v>
      </c>
      <c r="CZ59" t="s">
        <v>678</v>
      </c>
    </row>
    <row r="60" spans="1:104" x14ac:dyDescent="0.25">
      <c r="A60" t="s">
        <v>74</v>
      </c>
      <c r="B60" t="s">
        <v>513</v>
      </c>
      <c r="C60" t="s">
        <v>32</v>
      </c>
      <c r="D60" t="s">
        <v>3</v>
      </c>
      <c r="E60" t="s">
        <v>4</v>
      </c>
      <c r="F60" t="s">
        <v>5</v>
      </c>
      <c r="G60" t="s">
        <v>6</v>
      </c>
      <c r="H60" s="2">
        <v>100</v>
      </c>
      <c r="I60" s="2">
        <v>100</v>
      </c>
      <c r="J60" s="2">
        <v>0</v>
      </c>
      <c r="K60" s="2">
        <v>100</v>
      </c>
      <c r="L60" t="s">
        <v>7</v>
      </c>
      <c r="M60" t="s">
        <v>8</v>
      </c>
      <c r="N60" t="s">
        <v>9</v>
      </c>
      <c r="O60" t="s">
        <v>9</v>
      </c>
      <c r="P60" t="s">
        <v>9</v>
      </c>
      <c r="Q60" t="s">
        <v>77</v>
      </c>
      <c r="R60" t="str">
        <f t="shared" si="1"/>
        <v>131500007014DIPIKA</v>
      </c>
      <c r="S60" t="e">
        <f>VLOOKUP(R60,[2]Sheet1!$R$2:$AX$20,33,0)</f>
        <v>#N/A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s="2">
        <v>0</v>
      </c>
      <c r="Z60" t="s">
        <v>9</v>
      </c>
      <c r="AA60" t="s">
        <v>9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t="s">
        <v>9</v>
      </c>
      <c r="AQ60" t="s">
        <v>9</v>
      </c>
      <c r="AR60" t="s">
        <v>9</v>
      </c>
      <c r="CZ60" t="s">
        <v>78</v>
      </c>
    </row>
    <row r="61" spans="1:104" x14ac:dyDescent="0.25">
      <c r="A61" t="s">
        <v>74</v>
      </c>
      <c r="B61" t="s">
        <v>515</v>
      </c>
      <c r="C61" t="s">
        <v>32</v>
      </c>
      <c r="D61" t="s">
        <v>3</v>
      </c>
      <c r="E61" t="s">
        <v>4</v>
      </c>
      <c r="F61" t="s">
        <v>5</v>
      </c>
      <c r="G61" t="s">
        <v>6</v>
      </c>
      <c r="H61" s="2">
        <v>500</v>
      </c>
      <c r="I61" s="2">
        <v>500</v>
      </c>
      <c r="J61" s="2">
        <v>0</v>
      </c>
      <c r="K61" s="2">
        <v>500</v>
      </c>
      <c r="L61" t="s">
        <v>7</v>
      </c>
      <c r="M61" t="s">
        <v>8</v>
      </c>
      <c r="N61" t="s">
        <v>9</v>
      </c>
      <c r="O61" t="s">
        <v>9</v>
      </c>
      <c r="P61" t="s">
        <v>9</v>
      </c>
      <c r="Q61" t="s">
        <v>77</v>
      </c>
      <c r="R61" t="str">
        <f t="shared" si="1"/>
        <v>131500007014DIPIKA</v>
      </c>
      <c r="S61" t="e">
        <f>VLOOKUP(R61,[2]Sheet1!$R$2:$AX$20,33,0)</f>
        <v>#N/A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s="2">
        <v>0</v>
      </c>
      <c r="Z61" t="s">
        <v>9</v>
      </c>
      <c r="AA61" t="s">
        <v>9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t="s">
        <v>9</v>
      </c>
      <c r="AQ61" t="s">
        <v>9</v>
      </c>
      <c r="AR61" t="s">
        <v>9</v>
      </c>
      <c r="CZ61" t="s">
        <v>78</v>
      </c>
    </row>
    <row r="62" spans="1:104" x14ac:dyDescent="0.25">
      <c r="A62" t="s">
        <v>74</v>
      </c>
      <c r="B62" t="s">
        <v>516</v>
      </c>
      <c r="C62" t="s">
        <v>32</v>
      </c>
      <c r="D62" t="s">
        <v>3</v>
      </c>
      <c r="E62" t="s">
        <v>4</v>
      </c>
      <c r="F62" t="s">
        <v>5</v>
      </c>
      <c r="G62" t="s">
        <v>6</v>
      </c>
      <c r="H62" s="2">
        <v>5000</v>
      </c>
      <c r="I62" s="2">
        <v>5000</v>
      </c>
      <c r="J62" s="2">
        <v>0</v>
      </c>
      <c r="K62" s="2">
        <v>5000</v>
      </c>
      <c r="L62" t="s">
        <v>7</v>
      </c>
      <c r="M62" t="s">
        <v>8</v>
      </c>
      <c r="N62" t="s">
        <v>9</v>
      </c>
      <c r="O62" t="s">
        <v>9</v>
      </c>
      <c r="P62" t="s">
        <v>9</v>
      </c>
      <c r="Q62" t="s">
        <v>77</v>
      </c>
      <c r="R62" t="str">
        <f t="shared" si="1"/>
        <v>131500007014DIPIKA</v>
      </c>
      <c r="S62" t="e">
        <f>VLOOKUP(R62,[2]Sheet1!$R$2:$AX$20,33,0)</f>
        <v>#N/A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s="2">
        <v>0</v>
      </c>
      <c r="Z62" t="s">
        <v>9</v>
      </c>
      <c r="AA62" t="s">
        <v>9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t="s">
        <v>9</v>
      </c>
      <c r="AQ62" t="s">
        <v>9</v>
      </c>
      <c r="AR62" t="s">
        <v>9</v>
      </c>
      <c r="CZ62" t="s">
        <v>78</v>
      </c>
    </row>
    <row r="63" spans="1:104" x14ac:dyDescent="0.25">
      <c r="A63" t="s">
        <v>74</v>
      </c>
      <c r="B63" t="s">
        <v>24</v>
      </c>
      <c r="C63" t="s">
        <v>32</v>
      </c>
      <c r="D63" t="s">
        <v>3</v>
      </c>
      <c r="E63" t="s">
        <v>75</v>
      </c>
      <c r="F63" t="s">
        <v>5</v>
      </c>
      <c r="G63" t="s">
        <v>76</v>
      </c>
      <c r="H63" s="2">
        <v>5000</v>
      </c>
      <c r="I63" s="2">
        <v>5000</v>
      </c>
      <c r="J63" s="2">
        <v>0</v>
      </c>
      <c r="K63" s="2">
        <v>5000</v>
      </c>
      <c r="L63" t="s">
        <v>7</v>
      </c>
      <c r="M63" t="s">
        <v>8</v>
      </c>
      <c r="N63" t="s">
        <v>9</v>
      </c>
      <c r="O63" t="s">
        <v>9</v>
      </c>
      <c r="P63" t="s">
        <v>9</v>
      </c>
      <c r="Q63" t="s">
        <v>77</v>
      </c>
      <c r="R63" t="str">
        <f t="shared" si="1"/>
        <v>131500007014DIPIKA</v>
      </c>
      <c r="S63" t="e">
        <f>VLOOKUP(R63,[2]Sheet1!$R$2:$AX$20,33,0)</f>
        <v>#N/A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s="2">
        <v>0</v>
      </c>
      <c r="Z63" t="s">
        <v>9</v>
      </c>
      <c r="AA63" t="s">
        <v>9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t="s">
        <v>9</v>
      </c>
      <c r="AQ63" t="s">
        <v>9</v>
      </c>
      <c r="AR63" t="s">
        <v>9</v>
      </c>
      <c r="CZ63" t="s">
        <v>78</v>
      </c>
    </row>
    <row r="64" spans="1:104" x14ac:dyDescent="0.25">
      <c r="A64" t="s">
        <v>74</v>
      </c>
      <c r="B64" t="s">
        <v>518</v>
      </c>
      <c r="C64" t="s">
        <v>32</v>
      </c>
      <c r="D64" t="s">
        <v>3</v>
      </c>
      <c r="E64" t="s">
        <v>4</v>
      </c>
      <c r="F64" t="s">
        <v>5</v>
      </c>
      <c r="G64" t="s">
        <v>6</v>
      </c>
      <c r="H64" s="2">
        <v>50000</v>
      </c>
      <c r="I64" s="2">
        <v>50000</v>
      </c>
      <c r="J64" s="2">
        <v>0</v>
      </c>
      <c r="K64" s="2">
        <v>50000</v>
      </c>
      <c r="L64" t="s">
        <v>7</v>
      </c>
      <c r="M64" t="s">
        <v>8</v>
      </c>
      <c r="N64" t="s">
        <v>9</v>
      </c>
      <c r="O64" t="s">
        <v>9</v>
      </c>
      <c r="P64" t="s">
        <v>9</v>
      </c>
      <c r="Q64" t="s">
        <v>77</v>
      </c>
      <c r="R64" t="str">
        <f t="shared" si="1"/>
        <v>131500007018DIPIKA</v>
      </c>
      <c r="S64" t="e">
        <f>VLOOKUP(R64,[2]Sheet1!$R$2:$AX$20,33,0)</f>
        <v>#N/A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s="2">
        <v>0</v>
      </c>
      <c r="Z64" t="s">
        <v>9</v>
      </c>
      <c r="AA64" t="s">
        <v>9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t="s">
        <v>9</v>
      </c>
      <c r="AQ64" t="s">
        <v>9</v>
      </c>
      <c r="AR64" t="s">
        <v>9</v>
      </c>
      <c r="CZ64" t="s">
        <v>679</v>
      </c>
    </row>
    <row r="65" spans="1:104" x14ac:dyDescent="0.25">
      <c r="A65" t="s">
        <v>74</v>
      </c>
      <c r="B65" t="s">
        <v>519</v>
      </c>
      <c r="C65" t="s">
        <v>32</v>
      </c>
      <c r="D65" t="s">
        <v>3</v>
      </c>
      <c r="E65" t="s">
        <v>4</v>
      </c>
      <c r="F65" t="s">
        <v>5</v>
      </c>
      <c r="G65" t="s">
        <v>6</v>
      </c>
      <c r="H65" s="2">
        <v>100000</v>
      </c>
      <c r="I65" s="2">
        <v>100000</v>
      </c>
      <c r="J65" s="2">
        <v>0</v>
      </c>
      <c r="K65" s="2">
        <v>100000</v>
      </c>
      <c r="L65" t="s">
        <v>7</v>
      </c>
      <c r="M65" t="s">
        <v>8</v>
      </c>
      <c r="N65" t="s">
        <v>9</v>
      </c>
      <c r="O65" t="s">
        <v>9</v>
      </c>
      <c r="P65" t="s">
        <v>9</v>
      </c>
      <c r="Q65" t="s">
        <v>77</v>
      </c>
      <c r="R65" t="str">
        <f t="shared" si="1"/>
        <v>131500007018DIPIKA</v>
      </c>
      <c r="S65" t="e">
        <f>VLOOKUP(R65,[2]Sheet1!$R$2:$AX$20,33,0)</f>
        <v>#N/A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s="2">
        <v>0</v>
      </c>
      <c r="Z65" t="s">
        <v>9</v>
      </c>
      <c r="AA65" t="s">
        <v>9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t="s">
        <v>9</v>
      </c>
      <c r="AQ65" t="s">
        <v>9</v>
      </c>
      <c r="AR65" t="s">
        <v>9</v>
      </c>
      <c r="CZ65" t="s">
        <v>679</v>
      </c>
    </row>
    <row r="66" spans="1:104" x14ac:dyDescent="0.25">
      <c r="A66" t="s">
        <v>74</v>
      </c>
      <c r="B66" t="s">
        <v>520</v>
      </c>
      <c r="C66" t="s">
        <v>32</v>
      </c>
      <c r="D66" t="s">
        <v>3</v>
      </c>
      <c r="E66" t="s">
        <v>4</v>
      </c>
      <c r="F66" t="s">
        <v>5</v>
      </c>
      <c r="G66" t="s">
        <v>6</v>
      </c>
      <c r="H66" s="2">
        <v>75000</v>
      </c>
      <c r="I66" s="2">
        <v>75000</v>
      </c>
      <c r="J66" s="2">
        <v>0</v>
      </c>
      <c r="K66" s="2">
        <v>75000</v>
      </c>
      <c r="L66" t="s">
        <v>7</v>
      </c>
      <c r="M66" t="s">
        <v>8</v>
      </c>
      <c r="N66" t="s">
        <v>9</v>
      </c>
      <c r="O66" t="s">
        <v>9</v>
      </c>
      <c r="P66" t="s">
        <v>9</v>
      </c>
      <c r="Q66" t="s">
        <v>77</v>
      </c>
      <c r="R66" t="str">
        <f t="shared" si="1"/>
        <v>131500007018DIPIKA</v>
      </c>
      <c r="S66" t="e">
        <f>VLOOKUP(R66,[2]Sheet1!$R$2:$AX$20,33,0)</f>
        <v>#N/A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s="2">
        <v>0</v>
      </c>
      <c r="Z66" t="s">
        <v>9</v>
      </c>
      <c r="AA66" t="s">
        <v>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t="s">
        <v>9</v>
      </c>
      <c r="AQ66" t="s">
        <v>9</v>
      </c>
      <c r="AR66" t="s">
        <v>9</v>
      </c>
      <c r="CZ66" t="s">
        <v>679</v>
      </c>
    </row>
    <row r="67" spans="1:104" x14ac:dyDescent="0.25">
      <c r="A67" t="s">
        <v>74</v>
      </c>
      <c r="B67" t="s">
        <v>522</v>
      </c>
      <c r="C67" t="s">
        <v>32</v>
      </c>
      <c r="D67" t="s">
        <v>3</v>
      </c>
      <c r="E67" t="s">
        <v>75</v>
      </c>
      <c r="F67" t="s">
        <v>5</v>
      </c>
      <c r="G67" t="s">
        <v>76</v>
      </c>
      <c r="H67" s="2">
        <v>50000</v>
      </c>
      <c r="I67" s="2">
        <v>50000</v>
      </c>
      <c r="J67" s="2">
        <v>0</v>
      </c>
      <c r="K67" s="2">
        <v>50000</v>
      </c>
      <c r="L67" t="s">
        <v>7</v>
      </c>
      <c r="M67" t="s">
        <v>8</v>
      </c>
      <c r="N67" t="s">
        <v>9</v>
      </c>
      <c r="O67" t="s">
        <v>9</v>
      </c>
      <c r="P67" t="s">
        <v>9</v>
      </c>
      <c r="Q67" t="s">
        <v>77</v>
      </c>
      <c r="R67" t="str">
        <f t="shared" si="1"/>
        <v>131500007018DIPIKA</v>
      </c>
      <c r="S67" t="e">
        <f>VLOOKUP(R67,[2]Sheet1!$R$2:$AX$20,33,0)</f>
        <v>#N/A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s="2">
        <v>0</v>
      </c>
      <c r="Z67" t="s">
        <v>9</v>
      </c>
      <c r="AA67" t="s">
        <v>9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t="s">
        <v>9</v>
      </c>
      <c r="AQ67" t="s">
        <v>9</v>
      </c>
      <c r="AR67" t="s">
        <v>9</v>
      </c>
      <c r="CZ67" t="s">
        <v>679</v>
      </c>
    </row>
    <row r="68" spans="1:104" x14ac:dyDescent="0.25">
      <c r="A68" t="s">
        <v>74</v>
      </c>
      <c r="B68" t="s">
        <v>523</v>
      </c>
      <c r="C68" t="s">
        <v>32</v>
      </c>
      <c r="D68" t="s">
        <v>3</v>
      </c>
      <c r="E68" t="s">
        <v>4</v>
      </c>
      <c r="F68" t="s">
        <v>5</v>
      </c>
      <c r="G68" t="s">
        <v>6</v>
      </c>
      <c r="H68" s="2">
        <v>30000</v>
      </c>
      <c r="I68" s="2">
        <v>30000</v>
      </c>
      <c r="J68" s="2">
        <v>0</v>
      </c>
      <c r="K68" s="2">
        <v>30000</v>
      </c>
      <c r="L68" t="s">
        <v>7</v>
      </c>
      <c r="M68" t="s">
        <v>8</v>
      </c>
      <c r="N68" t="s">
        <v>9</v>
      </c>
      <c r="O68" t="s">
        <v>9</v>
      </c>
      <c r="P68" t="s">
        <v>9</v>
      </c>
      <c r="Q68" t="s">
        <v>77</v>
      </c>
      <c r="R68" t="str">
        <f t="shared" si="1"/>
        <v>131500007018DIPIKA</v>
      </c>
      <c r="S68" t="e">
        <f>VLOOKUP(R68,[2]Sheet1!$R$2:$AX$20,33,0)</f>
        <v>#N/A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s="2">
        <v>0</v>
      </c>
      <c r="Z68" t="s">
        <v>9</v>
      </c>
      <c r="AA68" t="s">
        <v>9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t="s">
        <v>9</v>
      </c>
      <c r="AQ68" t="s">
        <v>9</v>
      </c>
      <c r="AR68" t="s">
        <v>9</v>
      </c>
      <c r="CZ68" t="s">
        <v>679</v>
      </c>
    </row>
    <row r="69" spans="1:104" x14ac:dyDescent="0.25">
      <c r="A69" t="s">
        <v>74</v>
      </c>
      <c r="B69" t="s">
        <v>524</v>
      </c>
      <c r="C69" t="s">
        <v>32</v>
      </c>
      <c r="D69" t="s">
        <v>3</v>
      </c>
      <c r="E69" t="s">
        <v>4</v>
      </c>
      <c r="F69" t="s">
        <v>5</v>
      </c>
      <c r="G69" t="s">
        <v>6</v>
      </c>
      <c r="H69" s="2">
        <v>1000</v>
      </c>
      <c r="I69" s="2">
        <v>1000</v>
      </c>
      <c r="J69" s="2">
        <v>0</v>
      </c>
      <c r="K69" s="2">
        <v>1000</v>
      </c>
      <c r="L69" t="s">
        <v>7</v>
      </c>
      <c r="M69" t="s">
        <v>8</v>
      </c>
      <c r="N69" t="s">
        <v>9</v>
      </c>
      <c r="O69" t="s">
        <v>9</v>
      </c>
      <c r="P69" t="s">
        <v>9</v>
      </c>
      <c r="Q69" t="s">
        <v>77</v>
      </c>
      <c r="R69" t="str">
        <f t="shared" si="1"/>
        <v>131500007022DIPIKA</v>
      </c>
      <c r="S69" t="e">
        <f>VLOOKUP(R69,[2]Sheet1!$R$2:$AX$20,33,0)</f>
        <v>#N/A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s="2">
        <v>0</v>
      </c>
      <c r="Z69" t="s">
        <v>9</v>
      </c>
      <c r="AA69" t="s">
        <v>9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t="s">
        <v>9</v>
      </c>
      <c r="AQ69" t="s">
        <v>9</v>
      </c>
      <c r="AR69" t="s">
        <v>9</v>
      </c>
      <c r="CZ69" t="s">
        <v>680</v>
      </c>
    </row>
    <row r="70" spans="1:104" x14ac:dyDescent="0.25">
      <c r="A70" t="s">
        <v>74</v>
      </c>
      <c r="B70" t="s">
        <v>525</v>
      </c>
      <c r="C70" t="s">
        <v>32</v>
      </c>
      <c r="D70" t="s">
        <v>3</v>
      </c>
      <c r="E70" t="s">
        <v>4</v>
      </c>
      <c r="F70" t="s">
        <v>5</v>
      </c>
      <c r="G70" t="s">
        <v>6</v>
      </c>
      <c r="H70" s="2">
        <v>100</v>
      </c>
      <c r="I70" s="2">
        <v>100</v>
      </c>
      <c r="J70" s="2">
        <v>0</v>
      </c>
      <c r="K70" s="2">
        <v>100</v>
      </c>
      <c r="L70" t="s">
        <v>7</v>
      </c>
      <c r="M70" t="s">
        <v>8</v>
      </c>
      <c r="N70" t="s">
        <v>9</v>
      </c>
      <c r="O70" t="s">
        <v>9</v>
      </c>
      <c r="P70" t="s">
        <v>9</v>
      </c>
      <c r="Q70" t="s">
        <v>77</v>
      </c>
      <c r="R70" t="str">
        <f t="shared" si="1"/>
        <v>131500007022DIPIKA</v>
      </c>
      <c r="S70" t="e">
        <f>VLOOKUP(R70,[2]Sheet1!$R$2:$AX$20,33,0)</f>
        <v>#N/A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s="2">
        <v>0</v>
      </c>
      <c r="Z70" t="s">
        <v>9</v>
      </c>
      <c r="AA70" t="s">
        <v>9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t="s">
        <v>9</v>
      </c>
      <c r="AQ70" t="s">
        <v>9</v>
      </c>
      <c r="AR70" t="s">
        <v>9</v>
      </c>
      <c r="CZ70" t="s">
        <v>680</v>
      </c>
    </row>
    <row r="71" spans="1:104" x14ac:dyDescent="0.25">
      <c r="A71" t="s">
        <v>74</v>
      </c>
      <c r="B71" t="s">
        <v>526</v>
      </c>
      <c r="C71" t="s">
        <v>32</v>
      </c>
      <c r="D71" t="s">
        <v>3</v>
      </c>
      <c r="E71" t="s">
        <v>4</v>
      </c>
      <c r="F71" t="s">
        <v>5</v>
      </c>
      <c r="G71" t="s">
        <v>6</v>
      </c>
      <c r="H71" s="2">
        <v>500</v>
      </c>
      <c r="I71" s="2">
        <v>500</v>
      </c>
      <c r="J71" s="2">
        <v>0</v>
      </c>
      <c r="K71" s="2">
        <v>500</v>
      </c>
      <c r="L71" t="s">
        <v>7</v>
      </c>
      <c r="M71" t="s">
        <v>8</v>
      </c>
      <c r="N71" t="s">
        <v>9</v>
      </c>
      <c r="O71" t="s">
        <v>9</v>
      </c>
      <c r="P71" t="s">
        <v>9</v>
      </c>
      <c r="Q71" t="s">
        <v>77</v>
      </c>
      <c r="R71" t="str">
        <f t="shared" si="1"/>
        <v>131500007022DIPIKA</v>
      </c>
      <c r="S71" t="e">
        <f>VLOOKUP(R71,[2]Sheet1!$R$2:$AX$20,33,0)</f>
        <v>#N/A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s="2">
        <v>0</v>
      </c>
      <c r="Z71" t="s">
        <v>9</v>
      </c>
      <c r="AA71" t="s">
        <v>9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t="s">
        <v>9</v>
      </c>
      <c r="AQ71" t="s">
        <v>9</v>
      </c>
      <c r="AR71" t="s">
        <v>9</v>
      </c>
      <c r="CZ71" t="s">
        <v>680</v>
      </c>
    </row>
    <row r="72" spans="1:104" x14ac:dyDescent="0.25">
      <c r="A72" t="s">
        <v>74</v>
      </c>
      <c r="B72" t="s">
        <v>527</v>
      </c>
      <c r="C72" t="s">
        <v>32</v>
      </c>
      <c r="D72" t="s">
        <v>3</v>
      </c>
      <c r="E72" t="s">
        <v>75</v>
      </c>
      <c r="F72" t="s">
        <v>5</v>
      </c>
      <c r="G72" t="s">
        <v>76</v>
      </c>
      <c r="H72" s="2">
        <v>100</v>
      </c>
      <c r="I72" s="2">
        <v>100</v>
      </c>
      <c r="J72" s="2">
        <v>0</v>
      </c>
      <c r="K72" s="2">
        <v>100</v>
      </c>
      <c r="L72" t="s">
        <v>7</v>
      </c>
      <c r="M72" t="s">
        <v>8</v>
      </c>
      <c r="N72" t="s">
        <v>9</v>
      </c>
      <c r="O72" t="s">
        <v>9</v>
      </c>
      <c r="P72" t="s">
        <v>9</v>
      </c>
      <c r="Q72" t="s">
        <v>77</v>
      </c>
      <c r="R72" t="str">
        <f t="shared" si="1"/>
        <v>131500007022DIPIKA</v>
      </c>
      <c r="S72" t="e">
        <f>VLOOKUP(R72,[2]Sheet1!$R$2:$AX$20,33,0)</f>
        <v>#N/A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s="2">
        <v>0</v>
      </c>
      <c r="Z72" t="s">
        <v>9</v>
      </c>
      <c r="AA72" t="s">
        <v>9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t="s">
        <v>9</v>
      </c>
      <c r="AQ72" t="s">
        <v>9</v>
      </c>
      <c r="AR72" t="s">
        <v>9</v>
      </c>
      <c r="CZ72" t="s">
        <v>680</v>
      </c>
    </row>
    <row r="73" spans="1:104" x14ac:dyDescent="0.25">
      <c r="A73" t="s">
        <v>74</v>
      </c>
      <c r="B73" t="s">
        <v>528</v>
      </c>
      <c r="C73" t="s">
        <v>32</v>
      </c>
      <c r="D73" t="s">
        <v>3</v>
      </c>
      <c r="E73" t="s">
        <v>4</v>
      </c>
      <c r="F73" t="s">
        <v>5</v>
      </c>
      <c r="G73" t="s">
        <v>6</v>
      </c>
      <c r="H73" s="2">
        <v>20000</v>
      </c>
      <c r="I73" s="2">
        <v>20000</v>
      </c>
      <c r="J73" s="2">
        <v>0</v>
      </c>
      <c r="K73" s="2">
        <v>20000</v>
      </c>
      <c r="L73" t="s">
        <v>7</v>
      </c>
      <c r="M73" t="s">
        <v>8</v>
      </c>
      <c r="N73" t="s">
        <v>9</v>
      </c>
      <c r="O73" t="s">
        <v>9</v>
      </c>
      <c r="P73" t="s">
        <v>9</v>
      </c>
      <c r="Q73" t="s">
        <v>77</v>
      </c>
      <c r="R73" t="str">
        <f t="shared" si="1"/>
        <v>131500007020DIPIKA</v>
      </c>
      <c r="S73" t="e">
        <f>VLOOKUP(R73,[2]Sheet1!$R$2:$AX$20,33,0)</f>
        <v>#N/A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s="2">
        <v>0</v>
      </c>
      <c r="Z73" t="s">
        <v>9</v>
      </c>
      <c r="AA73" t="s">
        <v>9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t="s">
        <v>9</v>
      </c>
      <c r="AQ73" t="s">
        <v>9</v>
      </c>
      <c r="AR73" t="s">
        <v>9</v>
      </c>
      <c r="CZ73" t="s">
        <v>681</v>
      </c>
    </row>
    <row r="74" spans="1:104" x14ac:dyDescent="0.25">
      <c r="A74" t="s">
        <v>74</v>
      </c>
      <c r="B74" t="s">
        <v>529</v>
      </c>
      <c r="C74" t="s">
        <v>32</v>
      </c>
      <c r="D74" t="s">
        <v>3</v>
      </c>
      <c r="E74" t="s">
        <v>4</v>
      </c>
      <c r="F74" t="s">
        <v>5</v>
      </c>
      <c r="G74" t="s">
        <v>6</v>
      </c>
      <c r="H74" s="2">
        <v>30000</v>
      </c>
      <c r="I74" s="2">
        <v>30000</v>
      </c>
      <c r="J74" s="2">
        <v>0</v>
      </c>
      <c r="K74" s="2">
        <v>30000</v>
      </c>
      <c r="L74" t="s">
        <v>7</v>
      </c>
      <c r="M74" t="s">
        <v>8</v>
      </c>
      <c r="N74" t="s">
        <v>9</v>
      </c>
      <c r="O74" t="s">
        <v>9</v>
      </c>
      <c r="P74" t="s">
        <v>9</v>
      </c>
      <c r="Q74" t="s">
        <v>77</v>
      </c>
      <c r="R74" t="str">
        <f t="shared" si="1"/>
        <v>131500007020DIPIKA</v>
      </c>
      <c r="S74" t="e">
        <f>VLOOKUP(R74,[2]Sheet1!$R$2:$AX$20,33,0)</f>
        <v>#N/A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s="2">
        <v>0</v>
      </c>
      <c r="Z74" t="s">
        <v>9</v>
      </c>
      <c r="AA74" t="s">
        <v>9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t="s">
        <v>9</v>
      </c>
      <c r="AQ74" t="s">
        <v>9</v>
      </c>
      <c r="AR74" t="s">
        <v>9</v>
      </c>
      <c r="CZ74" t="s">
        <v>681</v>
      </c>
    </row>
    <row r="75" spans="1:104" x14ac:dyDescent="0.25">
      <c r="A75" t="s">
        <v>74</v>
      </c>
      <c r="B75" t="s">
        <v>530</v>
      </c>
      <c r="C75" t="s">
        <v>32</v>
      </c>
      <c r="D75" t="s">
        <v>3</v>
      </c>
      <c r="E75" t="s">
        <v>4</v>
      </c>
      <c r="F75" t="s">
        <v>5</v>
      </c>
      <c r="G75" t="s">
        <v>6</v>
      </c>
      <c r="H75" s="2">
        <v>40000</v>
      </c>
      <c r="I75" s="2">
        <v>40000</v>
      </c>
      <c r="J75" s="2">
        <v>0</v>
      </c>
      <c r="K75" s="2">
        <v>40000</v>
      </c>
      <c r="L75" t="s">
        <v>7</v>
      </c>
      <c r="M75" t="s">
        <v>8</v>
      </c>
      <c r="N75" t="s">
        <v>9</v>
      </c>
      <c r="O75" t="s">
        <v>9</v>
      </c>
      <c r="P75" t="s">
        <v>9</v>
      </c>
      <c r="Q75" t="s">
        <v>77</v>
      </c>
      <c r="R75" t="str">
        <f t="shared" si="1"/>
        <v>131500007020DIPIKA</v>
      </c>
      <c r="S75" t="e">
        <f>VLOOKUP(R75,[2]Sheet1!$R$2:$AX$20,33,0)</f>
        <v>#N/A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s="2">
        <v>0</v>
      </c>
      <c r="Z75" t="s">
        <v>9</v>
      </c>
      <c r="AA75" t="s">
        <v>9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t="s">
        <v>9</v>
      </c>
      <c r="AQ75" t="s">
        <v>9</v>
      </c>
      <c r="AR75" t="s">
        <v>9</v>
      </c>
      <c r="CZ75" t="s">
        <v>681</v>
      </c>
    </row>
    <row r="76" spans="1:104" x14ac:dyDescent="0.25">
      <c r="A76" t="s">
        <v>74</v>
      </c>
      <c r="B76" t="s">
        <v>531</v>
      </c>
      <c r="C76" t="s">
        <v>32</v>
      </c>
      <c r="D76" t="s">
        <v>3</v>
      </c>
      <c r="E76" t="s">
        <v>4</v>
      </c>
      <c r="F76" t="s">
        <v>5</v>
      </c>
      <c r="G76" t="s">
        <v>6</v>
      </c>
      <c r="H76" s="2">
        <v>20000</v>
      </c>
      <c r="I76" s="2">
        <v>20000</v>
      </c>
      <c r="J76" s="2">
        <v>0</v>
      </c>
      <c r="K76" s="2">
        <v>20000</v>
      </c>
      <c r="L76" t="s">
        <v>7</v>
      </c>
      <c r="M76" t="s">
        <v>8</v>
      </c>
      <c r="N76" t="s">
        <v>9</v>
      </c>
      <c r="O76" t="s">
        <v>9</v>
      </c>
      <c r="P76" t="s">
        <v>9</v>
      </c>
      <c r="Q76" t="s">
        <v>77</v>
      </c>
      <c r="R76" t="str">
        <f t="shared" si="1"/>
        <v>131500007023DIPIKA</v>
      </c>
      <c r="S76" t="e">
        <f>VLOOKUP(R76,[2]Sheet1!$R$2:$AX$20,33,0)</f>
        <v>#N/A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s="2">
        <v>0</v>
      </c>
      <c r="Z76" t="s">
        <v>9</v>
      </c>
      <c r="AA76" t="s">
        <v>9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t="s">
        <v>9</v>
      </c>
      <c r="AQ76" t="s">
        <v>9</v>
      </c>
      <c r="AR76" t="s">
        <v>9</v>
      </c>
      <c r="CZ76" t="s">
        <v>682</v>
      </c>
    </row>
    <row r="77" spans="1:104" x14ac:dyDescent="0.25">
      <c r="A77" t="s">
        <v>74</v>
      </c>
      <c r="B77" t="s">
        <v>532</v>
      </c>
      <c r="C77" t="s">
        <v>32</v>
      </c>
      <c r="D77" t="s">
        <v>3</v>
      </c>
      <c r="E77" t="s">
        <v>4</v>
      </c>
      <c r="F77" t="s">
        <v>5</v>
      </c>
      <c r="G77" t="s">
        <v>6</v>
      </c>
      <c r="H77" s="2">
        <v>10000</v>
      </c>
      <c r="I77" s="2">
        <v>10000</v>
      </c>
      <c r="J77" s="2">
        <v>0</v>
      </c>
      <c r="K77" s="2">
        <v>10000</v>
      </c>
      <c r="L77" t="s">
        <v>7</v>
      </c>
      <c r="M77" t="s">
        <v>8</v>
      </c>
      <c r="N77" t="s">
        <v>9</v>
      </c>
      <c r="O77" t="s">
        <v>9</v>
      </c>
      <c r="P77" t="s">
        <v>9</v>
      </c>
      <c r="Q77" t="s">
        <v>77</v>
      </c>
      <c r="R77" t="str">
        <f t="shared" si="1"/>
        <v>131500007023DIPIKA</v>
      </c>
      <c r="S77" t="e">
        <f>VLOOKUP(R77,[2]Sheet1!$R$2:$AX$20,33,0)</f>
        <v>#N/A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s="2">
        <v>0</v>
      </c>
      <c r="Z77" t="s">
        <v>9</v>
      </c>
      <c r="AA77" t="s">
        <v>9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t="s">
        <v>9</v>
      </c>
      <c r="AQ77" t="s">
        <v>9</v>
      </c>
      <c r="AR77" t="s">
        <v>9</v>
      </c>
      <c r="CZ77" t="s">
        <v>682</v>
      </c>
    </row>
    <row r="78" spans="1:104" x14ac:dyDescent="0.25">
      <c r="A78" t="s">
        <v>74</v>
      </c>
      <c r="B78" t="s">
        <v>533</v>
      </c>
      <c r="C78" t="s">
        <v>32</v>
      </c>
      <c r="D78" t="s">
        <v>3</v>
      </c>
      <c r="E78" t="s">
        <v>4</v>
      </c>
      <c r="F78" t="s">
        <v>5</v>
      </c>
      <c r="G78" t="s">
        <v>6</v>
      </c>
      <c r="H78" s="2">
        <v>20000</v>
      </c>
      <c r="I78" s="2">
        <v>20000</v>
      </c>
      <c r="J78" s="2">
        <v>0</v>
      </c>
      <c r="K78" s="2">
        <v>20000</v>
      </c>
      <c r="L78" t="s">
        <v>7</v>
      </c>
      <c r="M78" t="s">
        <v>8</v>
      </c>
      <c r="N78" t="s">
        <v>9</v>
      </c>
      <c r="O78" t="s">
        <v>9</v>
      </c>
      <c r="P78" t="s">
        <v>9</v>
      </c>
      <c r="Q78" t="s">
        <v>77</v>
      </c>
      <c r="R78" t="str">
        <f t="shared" si="1"/>
        <v>131500007023DIPIKA</v>
      </c>
      <c r="S78" t="e">
        <f>VLOOKUP(R78,[2]Sheet1!$R$2:$AX$20,33,0)</f>
        <v>#N/A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s="2">
        <v>0</v>
      </c>
      <c r="Z78" t="s">
        <v>9</v>
      </c>
      <c r="AA78" t="s">
        <v>9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t="s">
        <v>9</v>
      </c>
      <c r="AQ78" t="s">
        <v>9</v>
      </c>
      <c r="AR78" t="s">
        <v>9</v>
      </c>
      <c r="CZ78" t="s">
        <v>682</v>
      </c>
    </row>
    <row r="79" spans="1:104" x14ac:dyDescent="0.25">
      <c r="A79" t="s">
        <v>74</v>
      </c>
      <c r="B79" t="s">
        <v>544</v>
      </c>
      <c r="C79" t="s">
        <v>32</v>
      </c>
      <c r="D79" t="s">
        <v>3</v>
      </c>
      <c r="E79" t="s">
        <v>75</v>
      </c>
      <c r="F79" t="s">
        <v>5</v>
      </c>
      <c r="G79" t="s">
        <v>76</v>
      </c>
      <c r="H79" s="2">
        <v>500</v>
      </c>
      <c r="I79" s="2">
        <v>500</v>
      </c>
      <c r="J79" s="2">
        <v>0</v>
      </c>
      <c r="K79" s="2">
        <v>500</v>
      </c>
      <c r="L79" t="s">
        <v>7</v>
      </c>
      <c r="M79" t="s">
        <v>8</v>
      </c>
      <c r="N79" t="s">
        <v>9</v>
      </c>
      <c r="O79" t="s">
        <v>9</v>
      </c>
      <c r="P79" t="s">
        <v>9</v>
      </c>
      <c r="Q79" t="s">
        <v>77</v>
      </c>
      <c r="R79" t="str">
        <f t="shared" si="1"/>
        <v>131500007022DIPIKA</v>
      </c>
      <c r="S79" t="e">
        <f>VLOOKUP(R79,[2]Sheet1!$R$2:$AX$20,33,0)</f>
        <v>#N/A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s="2">
        <v>0</v>
      </c>
      <c r="Z79" t="s">
        <v>9</v>
      </c>
      <c r="AA79" t="s">
        <v>9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t="s">
        <v>9</v>
      </c>
      <c r="AQ79" t="s">
        <v>9</v>
      </c>
      <c r="AR79" t="s">
        <v>9</v>
      </c>
      <c r="CZ79" t="s">
        <v>680</v>
      </c>
    </row>
    <row r="80" spans="1:104" x14ac:dyDescent="0.25">
      <c r="A80" t="s">
        <v>74</v>
      </c>
      <c r="B80" t="s">
        <v>545</v>
      </c>
      <c r="C80" t="s">
        <v>32</v>
      </c>
      <c r="D80" t="s">
        <v>3</v>
      </c>
      <c r="E80" t="s">
        <v>75</v>
      </c>
      <c r="F80" t="s">
        <v>5</v>
      </c>
      <c r="G80" t="s">
        <v>76</v>
      </c>
      <c r="H80" s="2">
        <v>20000</v>
      </c>
      <c r="I80" s="2">
        <v>20000</v>
      </c>
      <c r="J80" s="2">
        <v>0</v>
      </c>
      <c r="K80" s="2">
        <v>20000</v>
      </c>
      <c r="L80" t="s">
        <v>7</v>
      </c>
      <c r="M80" t="s">
        <v>8</v>
      </c>
      <c r="N80" t="s">
        <v>9</v>
      </c>
      <c r="O80" t="s">
        <v>9</v>
      </c>
      <c r="P80" t="s">
        <v>9</v>
      </c>
      <c r="Q80" t="s">
        <v>77</v>
      </c>
      <c r="R80" t="str">
        <f t="shared" si="1"/>
        <v>131500007020DIPIKA</v>
      </c>
      <c r="S80" t="e">
        <f>VLOOKUP(R80,[2]Sheet1!$R$2:$AX$20,33,0)</f>
        <v>#N/A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s="2">
        <v>0</v>
      </c>
      <c r="Z80" t="s">
        <v>9</v>
      </c>
      <c r="AA80" t="s">
        <v>9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t="s">
        <v>9</v>
      </c>
      <c r="AQ80" t="s">
        <v>9</v>
      </c>
      <c r="AR80" t="s">
        <v>9</v>
      </c>
      <c r="CZ80" t="s">
        <v>681</v>
      </c>
    </row>
    <row r="81" spans="1:104" x14ac:dyDescent="0.25">
      <c r="A81" t="s">
        <v>74</v>
      </c>
      <c r="B81" t="s">
        <v>546</v>
      </c>
      <c r="C81" t="s">
        <v>32</v>
      </c>
      <c r="D81" t="s">
        <v>3</v>
      </c>
      <c r="E81" t="s">
        <v>4</v>
      </c>
      <c r="F81" t="s">
        <v>5</v>
      </c>
      <c r="G81" t="s">
        <v>6</v>
      </c>
      <c r="H81" s="2">
        <v>20000</v>
      </c>
      <c r="I81" s="2">
        <v>20000</v>
      </c>
      <c r="J81" s="2">
        <v>0</v>
      </c>
      <c r="K81" s="2">
        <v>20000</v>
      </c>
      <c r="L81" t="s">
        <v>7</v>
      </c>
      <c r="M81" t="s">
        <v>8</v>
      </c>
      <c r="N81" t="s">
        <v>9</v>
      </c>
      <c r="O81" t="s">
        <v>9</v>
      </c>
      <c r="P81" t="s">
        <v>9</v>
      </c>
      <c r="Q81" t="s">
        <v>77</v>
      </c>
      <c r="R81" t="str">
        <f t="shared" si="1"/>
        <v>131500007022DIPIKA</v>
      </c>
      <c r="S81" t="e">
        <f>VLOOKUP(R81,[2]Sheet1!$R$2:$AX$20,33,0)</f>
        <v>#N/A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s="2">
        <v>0</v>
      </c>
      <c r="Z81" t="s">
        <v>9</v>
      </c>
      <c r="AA81" t="s">
        <v>9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t="s">
        <v>9</v>
      </c>
      <c r="AQ81" t="s">
        <v>9</v>
      </c>
      <c r="AR81" t="s">
        <v>9</v>
      </c>
      <c r="CZ81" t="s">
        <v>680</v>
      </c>
    </row>
    <row r="82" spans="1:104" x14ac:dyDescent="0.25">
      <c r="A82" t="s">
        <v>74</v>
      </c>
      <c r="B82" t="s">
        <v>547</v>
      </c>
      <c r="C82" t="s">
        <v>32</v>
      </c>
      <c r="D82" t="s">
        <v>3</v>
      </c>
      <c r="E82" t="s">
        <v>4</v>
      </c>
      <c r="F82" t="s">
        <v>5</v>
      </c>
      <c r="G82" t="s">
        <v>6</v>
      </c>
      <c r="H82" s="2">
        <v>1000</v>
      </c>
      <c r="I82" s="2">
        <v>1000</v>
      </c>
      <c r="J82" s="2">
        <v>0</v>
      </c>
      <c r="K82" s="2">
        <v>1000</v>
      </c>
      <c r="L82" t="s">
        <v>7</v>
      </c>
      <c r="M82" t="s">
        <v>8</v>
      </c>
      <c r="N82" t="s">
        <v>9</v>
      </c>
      <c r="O82" t="s">
        <v>9</v>
      </c>
      <c r="P82" t="s">
        <v>9</v>
      </c>
      <c r="Q82" t="s">
        <v>77</v>
      </c>
      <c r="R82" t="str">
        <f t="shared" si="1"/>
        <v>131500007014DIPIKA</v>
      </c>
      <c r="S82" t="e">
        <f>VLOOKUP(R82,[2]Sheet1!$R$2:$AX$20,33,0)</f>
        <v>#N/A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s="2">
        <v>0</v>
      </c>
      <c r="Z82" t="s">
        <v>9</v>
      </c>
      <c r="AA82" t="s">
        <v>9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t="s">
        <v>9</v>
      </c>
      <c r="AQ82" t="s">
        <v>9</v>
      </c>
      <c r="AR82" t="s">
        <v>9</v>
      </c>
      <c r="CZ82" t="s">
        <v>78</v>
      </c>
    </row>
    <row r="83" spans="1:104" x14ac:dyDescent="0.25">
      <c r="A83" t="s">
        <v>74</v>
      </c>
      <c r="B83" t="s">
        <v>548</v>
      </c>
      <c r="C83" t="s">
        <v>32</v>
      </c>
      <c r="D83" t="s">
        <v>3</v>
      </c>
      <c r="E83" t="s">
        <v>4</v>
      </c>
      <c r="F83" t="s">
        <v>5</v>
      </c>
      <c r="G83" t="s">
        <v>6</v>
      </c>
      <c r="H83" s="2">
        <v>2000</v>
      </c>
      <c r="I83" s="2">
        <v>2000</v>
      </c>
      <c r="J83" s="2">
        <v>0</v>
      </c>
      <c r="K83" s="2">
        <v>2000</v>
      </c>
      <c r="L83" t="s">
        <v>7</v>
      </c>
      <c r="M83" t="s">
        <v>8</v>
      </c>
      <c r="N83" t="s">
        <v>9</v>
      </c>
      <c r="O83" t="s">
        <v>9</v>
      </c>
      <c r="P83" t="s">
        <v>9</v>
      </c>
      <c r="Q83" t="s">
        <v>77</v>
      </c>
      <c r="R83" t="str">
        <f t="shared" si="1"/>
        <v>131500007014DIPIKA</v>
      </c>
      <c r="S83" t="e">
        <f>VLOOKUP(R83,[2]Sheet1!$R$2:$AX$20,33,0)</f>
        <v>#N/A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s="2">
        <v>0</v>
      </c>
      <c r="Z83" t="s">
        <v>9</v>
      </c>
      <c r="AA83" t="s">
        <v>9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t="s">
        <v>9</v>
      </c>
      <c r="AQ83" t="s">
        <v>9</v>
      </c>
      <c r="AR83" t="s">
        <v>9</v>
      </c>
      <c r="CZ83" t="s">
        <v>78</v>
      </c>
    </row>
    <row r="84" spans="1:104" x14ac:dyDescent="0.25">
      <c r="A84" t="s">
        <v>74</v>
      </c>
      <c r="B84" t="s">
        <v>549</v>
      </c>
      <c r="C84" t="s">
        <v>32</v>
      </c>
      <c r="D84" t="s">
        <v>3</v>
      </c>
      <c r="E84" t="s">
        <v>4</v>
      </c>
      <c r="F84" t="s">
        <v>5</v>
      </c>
      <c r="G84" t="s">
        <v>6</v>
      </c>
      <c r="H84" s="2">
        <v>3000</v>
      </c>
      <c r="I84" s="2">
        <v>3000</v>
      </c>
      <c r="J84" s="2">
        <v>0</v>
      </c>
      <c r="K84" s="2">
        <v>3000</v>
      </c>
      <c r="L84" t="s">
        <v>7</v>
      </c>
      <c r="M84" t="s">
        <v>8</v>
      </c>
      <c r="N84" t="s">
        <v>9</v>
      </c>
      <c r="O84" t="s">
        <v>9</v>
      </c>
      <c r="P84" t="s">
        <v>9</v>
      </c>
      <c r="Q84" t="s">
        <v>77</v>
      </c>
      <c r="R84" t="str">
        <f t="shared" si="1"/>
        <v>131500007014DIPIKA</v>
      </c>
      <c r="S84" t="e">
        <f>VLOOKUP(R84,[2]Sheet1!$R$2:$AX$20,33,0)</f>
        <v>#N/A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s="2">
        <v>0</v>
      </c>
      <c r="Z84" t="s">
        <v>9</v>
      </c>
      <c r="AA84" t="s">
        <v>9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t="s">
        <v>9</v>
      </c>
      <c r="AQ84" t="s">
        <v>9</v>
      </c>
      <c r="AR84" t="s">
        <v>9</v>
      </c>
      <c r="CZ84" t="s">
        <v>78</v>
      </c>
    </row>
    <row r="85" spans="1:104" x14ac:dyDescent="0.25">
      <c r="A85" t="s">
        <v>74</v>
      </c>
      <c r="B85" t="s">
        <v>550</v>
      </c>
      <c r="C85" t="s">
        <v>32</v>
      </c>
      <c r="D85" t="s">
        <v>3</v>
      </c>
      <c r="E85" t="s">
        <v>75</v>
      </c>
      <c r="F85" t="s">
        <v>5</v>
      </c>
      <c r="G85" t="s">
        <v>76</v>
      </c>
      <c r="H85" s="2">
        <v>1000</v>
      </c>
      <c r="I85" s="2">
        <v>1000</v>
      </c>
      <c r="J85" s="2">
        <v>0</v>
      </c>
      <c r="K85" s="2">
        <v>1000</v>
      </c>
      <c r="L85" t="s">
        <v>7</v>
      </c>
      <c r="M85" t="s">
        <v>8</v>
      </c>
      <c r="N85" t="s">
        <v>9</v>
      </c>
      <c r="O85" t="s">
        <v>9</v>
      </c>
      <c r="P85" t="s">
        <v>9</v>
      </c>
      <c r="Q85" t="s">
        <v>77</v>
      </c>
      <c r="R85" t="str">
        <f t="shared" si="1"/>
        <v>131500007014DIPIKA</v>
      </c>
      <c r="S85" t="e">
        <f>VLOOKUP(R85,[2]Sheet1!$R$2:$AX$20,33,0)</f>
        <v>#N/A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s="2">
        <v>0</v>
      </c>
      <c r="Z85" t="s">
        <v>9</v>
      </c>
      <c r="AA85" t="s">
        <v>9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t="s">
        <v>9</v>
      </c>
      <c r="AQ85" t="s">
        <v>9</v>
      </c>
      <c r="AR85" t="s">
        <v>9</v>
      </c>
      <c r="CZ85" t="s">
        <v>78</v>
      </c>
    </row>
    <row r="86" spans="1:104" x14ac:dyDescent="0.25">
      <c r="A86" t="s">
        <v>74</v>
      </c>
      <c r="B86" t="s">
        <v>551</v>
      </c>
      <c r="C86" t="s">
        <v>32</v>
      </c>
      <c r="D86" t="s">
        <v>3</v>
      </c>
      <c r="E86" t="s">
        <v>4</v>
      </c>
      <c r="F86" t="s">
        <v>5</v>
      </c>
      <c r="G86" t="s">
        <v>6</v>
      </c>
      <c r="H86" s="2">
        <v>30000</v>
      </c>
      <c r="I86" s="2">
        <v>30000</v>
      </c>
      <c r="J86" s="2">
        <v>0</v>
      </c>
      <c r="K86" s="2">
        <v>30000</v>
      </c>
      <c r="L86" t="s">
        <v>7</v>
      </c>
      <c r="M86" t="s">
        <v>8</v>
      </c>
      <c r="N86" t="s">
        <v>9</v>
      </c>
      <c r="O86" t="s">
        <v>9</v>
      </c>
      <c r="P86" t="s">
        <v>9</v>
      </c>
      <c r="Q86" t="s">
        <v>77</v>
      </c>
      <c r="R86" t="str">
        <f t="shared" ref="R86:R149" si="2">CONCATENATE(Q86,CZ86,"DIPIKA")</f>
        <v>131500007022DIPIKA</v>
      </c>
      <c r="S86" t="e">
        <f>VLOOKUP(R86,[2]Sheet1!$R$2:$AX$20,33,0)</f>
        <v>#N/A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s="2">
        <v>0</v>
      </c>
      <c r="Z86" t="s">
        <v>9</v>
      </c>
      <c r="AA86" t="s">
        <v>9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t="s">
        <v>9</v>
      </c>
      <c r="AQ86" t="s">
        <v>9</v>
      </c>
      <c r="AR86" t="s">
        <v>9</v>
      </c>
      <c r="CZ86" t="s">
        <v>680</v>
      </c>
    </row>
    <row r="87" spans="1:104" x14ac:dyDescent="0.25">
      <c r="A87" t="s">
        <v>74</v>
      </c>
      <c r="B87" t="s">
        <v>552</v>
      </c>
      <c r="C87" t="s">
        <v>32</v>
      </c>
      <c r="D87" t="s">
        <v>3</v>
      </c>
      <c r="E87" t="s">
        <v>4</v>
      </c>
      <c r="F87" t="s">
        <v>5</v>
      </c>
      <c r="G87" t="s">
        <v>6</v>
      </c>
      <c r="H87" s="2">
        <v>40000</v>
      </c>
      <c r="I87" s="2">
        <v>40000</v>
      </c>
      <c r="J87" s="2">
        <v>0</v>
      </c>
      <c r="K87" s="2">
        <v>40000</v>
      </c>
      <c r="L87" t="s">
        <v>7</v>
      </c>
      <c r="M87" t="s">
        <v>8</v>
      </c>
      <c r="N87" t="s">
        <v>9</v>
      </c>
      <c r="O87" t="s">
        <v>9</v>
      </c>
      <c r="P87" t="s">
        <v>9</v>
      </c>
      <c r="Q87" t="s">
        <v>77</v>
      </c>
      <c r="R87" t="str">
        <f t="shared" si="2"/>
        <v>131500007022DIPIKA</v>
      </c>
      <c r="S87" t="e">
        <f>VLOOKUP(R87,[2]Sheet1!$R$2:$AX$20,33,0)</f>
        <v>#N/A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s="2">
        <v>0</v>
      </c>
      <c r="Z87" t="s">
        <v>9</v>
      </c>
      <c r="AA87" t="s">
        <v>9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t="s">
        <v>9</v>
      </c>
      <c r="AQ87" t="s">
        <v>9</v>
      </c>
      <c r="AR87" t="s">
        <v>9</v>
      </c>
      <c r="CZ87" t="s">
        <v>680</v>
      </c>
    </row>
    <row r="88" spans="1:104" x14ac:dyDescent="0.25">
      <c r="A88" t="s">
        <v>74</v>
      </c>
      <c r="B88" t="s">
        <v>553</v>
      </c>
      <c r="C88" t="s">
        <v>32</v>
      </c>
      <c r="D88" t="s">
        <v>3</v>
      </c>
      <c r="E88" t="s">
        <v>75</v>
      </c>
      <c r="F88" t="s">
        <v>5</v>
      </c>
      <c r="G88" t="s">
        <v>76</v>
      </c>
      <c r="H88" s="2">
        <v>20000</v>
      </c>
      <c r="I88" s="2">
        <v>20000</v>
      </c>
      <c r="J88" s="2">
        <v>0</v>
      </c>
      <c r="K88" s="2">
        <v>20000</v>
      </c>
      <c r="L88" t="s">
        <v>7</v>
      </c>
      <c r="M88" t="s">
        <v>8</v>
      </c>
      <c r="N88" t="s">
        <v>9</v>
      </c>
      <c r="O88" t="s">
        <v>9</v>
      </c>
      <c r="P88" t="s">
        <v>9</v>
      </c>
      <c r="Q88" t="s">
        <v>77</v>
      </c>
      <c r="R88" t="str">
        <f t="shared" si="2"/>
        <v>131500007022DIPIKA</v>
      </c>
      <c r="S88" t="e">
        <f>VLOOKUP(R88,[2]Sheet1!$R$2:$AX$20,33,0)</f>
        <v>#N/A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s="2">
        <v>0</v>
      </c>
      <c r="Z88" t="s">
        <v>9</v>
      </c>
      <c r="AA88" t="s">
        <v>9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t="s">
        <v>9</v>
      </c>
      <c r="AQ88" t="s">
        <v>9</v>
      </c>
      <c r="AR88" t="s">
        <v>9</v>
      </c>
      <c r="CZ88" t="s">
        <v>680</v>
      </c>
    </row>
    <row r="89" spans="1:104" x14ac:dyDescent="0.25">
      <c r="A89" t="s">
        <v>74</v>
      </c>
      <c r="B89" t="s">
        <v>554</v>
      </c>
      <c r="C89" t="s">
        <v>32</v>
      </c>
      <c r="D89" t="s">
        <v>3</v>
      </c>
      <c r="E89" t="s">
        <v>4</v>
      </c>
      <c r="F89" t="s">
        <v>5</v>
      </c>
      <c r="G89" t="s">
        <v>6</v>
      </c>
      <c r="H89" s="2">
        <v>10000</v>
      </c>
      <c r="I89" s="2">
        <v>10000</v>
      </c>
      <c r="J89" s="2">
        <v>0</v>
      </c>
      <c r="K89" s="2">
        <v>10000</v>
      </c>
      <c r="L89" t="s">
        <v>7</v>
      </c>
      <c r="M89" t="s">
        <v>8</v>
      </c>
      <c r="N89" t="s">
        <v>9</v>
      </c>
      <c r="O89" t="s">
        <v>9</v>
      </c>
      <c r="P89" t="s">
        <v>9</v>
      </c>
      <c r="Q89" t="s">
        <v>77</v>
      </c>
      <c r="R89" t="str">
        <f t="shared" si="2"/>
        <v>131500007025DIPIKA</v>
      </c>
      <c r="S89" t="e">
        <f>VLOOKUP(R89,[2]Sheet1!$R$2:$AX$20,33,0)</f>
        <v>#N/A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s="2">
        <v>0</v>
      </c>
      <c r="Z89" t="s">
        <v>9</v>
      </c>
      <c r="AA89" t="s">
        <v>9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t="s">
        <v>9</v>
      </c>
      <c r="AQ89" t="s">
        <v>9</v>
      </c>
      <c r="AR89" t="s">
        <v>9</v>
      </c>
      <c r="CZ89" t="s">
        <v>683</v>
      </c>
    </row>
    <row r="90" spans="1:104" x14ac:dyDescent="0.25">
      <c r="A90" t="s">
        <v>74</v>
      </c>
      <c r="B90" t="s">
        <v>555</v>
      </c>
      <c r="C90" t="s">
        <v>32</v>
      </c>
      <c r="D90" t="s">
        <v>3</v>
      </c>
      <c r="E90" t="s">
        <v>4</v>
      </c>
      <c r="F90" t="s">
        <v>5</v>
      </c>
      <c r="G90" t="s">
        <v>6</v>
      </c>
      <c r="H90" s="2">
        <v>20000</v>
      </c>
      <c r="I90" s="2">
        <v>20000</v>
      </c>
      <c r="J90" s="2">
        <v>0</v>
      </c>
      <c r="K90" s="2">
        <v>20000</v>
      </c>
      <c r="L90" t="s">
        <v>7</v>
      </c>
      <c r="M90" t="s">
        <v>8</v>
      </c>
      <c r="N90" t="s">
        <v>9</v>
      </c>
      <c r="O90" t="s">
        <v>9</v>
      </c>
      <c r="P90" t="s">
        <v>9</v>
      </c>
      <c r="Q90" t="s">
        <v>77</v>
      </c>
      <c r="R90" t="str">
        <f t="shared" si="2"/>
        <v>131500007025DIPIKA</v>
      </c>
      <c r="S90" t="e">
        <f>VLOOKUP(R90,[2]Sheet1!$R$2:$AX$20,33,0)</f>
        <v>#N/A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s="2">
        <v>0</v>
      </c>
      <c r="Z90" t="s">
        <v>9</v>
      </c>
      <c r="AA90" t="s">
        <v>9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t="s">
        <v>9</v>
      </c>
      <c r="AQ90" t="s">
        <v>9</v>
      </c>
      <c r="AR90" t="s">
        <v>9</v>
      </c>
      <c r="CZ90" t="s">
        <v>683</v>
      </c>
    </row>
    <row r="91" spans="1:104" x14ac:dyDescent="0.25">
      <c r="A91" t="s">
        <v>74</v>
      </c>
      <c r="B91" t="s">
        <v>556</v>
      </c>
      <c r="C91" t="s">
        <v>32</v>
      </c>
      <c r="D91" t="s">
        <v>3</v>
      </c>
      <c r="E91" t="s">
        <v>4</v>
      </c>
      <c r="F91" t="s">
        <v>5</v>
      </c>
      <c r="G91" t="s">
        <v>6</v>
      </c>
      <c r="H91" s="2">
        <v>10000</v>
      </c>
      <c r="I91" s="2">
        <v>10000</v>
      </c>
      <c r="J91" s="2">
        <v>0</v>
      </c>
      <c r="K91" s="2">
        <v>10000</v>
      </c>
      <c r="L91" t="s">
        <v>7</v>
      </c>
      <c r="M91" t="s">
        <v>8</v>
      </c>
      <c r="N91" t="s">
        <v>9</v>
      </c>
      <c r="O91" t="s">
        <v>9</v>
      </c>
      <c r="P91" t="s">
        <v>9</v>
      </c>
      <c r="Q91" t="s">
        <v>77</v>
      </c>
      <c r="R91" t="str">
        <f t="shared" si="2"/>
        <v>131500007022DIPIKA</v>
      </c>
      <c r="S91" t="e">
        <f>VLOOKUP(R91,[2]Sheet1!$R$2:$AX$20,33,0)</f>
        <v>#N/A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s="2">
        <v>0</v>
      </c>
      <c r="Z91" t="s">
        <v>9</v>
      </c>
      <c r="AA91" t="s">
        <v>9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t="s">
        <v>9</v>
      </c>
      <c r="AQ91" t="s">
        <v>9</v>
      </c>
      <c r="AR91" t="s">
        <v>9</v>
      </c>
      <c r="CZ91" t="s">
        <v>680</v>
      </c>
    </row>
    <row r="92" spans="1:104" x14ac:dyDescent="0.25">
      <c r="A92" t="s">
        <v>74</v>
      </c>
      <c r="B92" t="s">
        <v>557</v>
      </c>
      <c r="C92" t="s">
        <v>32</v>
      </c>
      <c r="D92" t="s">
        <v>3</v>
      </c>
      <c r="E92" t="s">
        <v>4</v>
      </c>
      <c r="F92" t="s">
        <v>5</v>
      </c>
      <c r="G92" t="s">
        <v>6</v>
      </c>
      <c r="H92" s="2">
        <v>200000</v>
      </c>
      <c r="I92" s="2">
        <v>200000</v>
      </c>
      <c r="J92" s="2">
        <v>0</v>
      </c>
      <c r="K92" s="2">
        <v>200000</v>
      </c>
      <c r="L92" t="s">
        <v>7</v>
      </c>
      <c r="M92" t="s">
        <v>8</v>
      </c>
      <c r="N92" t="s">
        <v>9</v>
      </c>
      <c r="O92" t="s">
        <v>9</v>
      </c>
      <c r="P92" t="s">
        <v>9</v>
      </c>
      <c r="Q92" t="s">
        <v>77</v>
      </c>
      <c r="R92" t="str">
        <f t="shared" si="2"/>
        <v>131500007018DIPIKA</v>
      </c>
      <c r="S92" t="e">
        <f>VLOOKUP(R92,[2]Sheet1!$R$2:$AX$20,33,0)</f>
        <v>#N/A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s="2">
        <v>0</v>
      </c>
      <c r="Z92" t="s">
        <v>9</v>
      </c>
      <c r="AA92" t="s">
        <v>9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t="s">
        <v>9</v>
      </c>
      <c r="AQ92" t="s">
        <v>9</v>
      </c>
      <c r="AR92" t="s">
        <v>9</v>
      </c>
      <c r="CZ92" t="s">
        <v>679</v>
      </c>
    </row>
    <row r="93" spans="1:104" x14ac:dyDescent="0.25">
      <c r="A93" t="s">
        <v>74</v>
      </c>
      <c r="B93" t="s">
        <v>558</v>
      </c>
      <c r="C93" t="s">
        <v>32</v>
      </c>
      <c r="D93" t="s">
        <v>3</v>
      </c>
      <c r="E93" t="s">
        <v>4</v>
      </c>
      <c r="F93" t="s">
        <v>5</v>
      </c>
      <c r="G93" t="s">
        <v>6</v>
      </c>
      <c r="H93" s="2">
        <v>60000</v>
      </c>
      <c r="I93" s="2">
        <v>60000</v>
      </c>
      <c r="J93" s="2">
        <v>0</v>
      </c>
      <c r="K93" s="2">
        <v>60000</v>
      </c>
      <c r="L93" t="s">
        <v>7</v>
      </c>
      <c r="M93" t="s">
        <v>8</v>
      </c>
      <c r="N93" t="s">
        <v>9</v>
      </c>
      <c r="O93" t="s">
        <v>9</v>
      </c>
      <c r="P93" t="s">
        <v>9</v>
      </c>
      <c r="Q93" t="s">
        <v>77</v>
      </c>
      <c r="R93" t="str">
        <f t="shared" si="2"/>
        <v>131500007018DIPIKA</v>
      </c>
      <c r="S93" t="e">
        <f>VLOOKUP(R93,[2]Sheet1!$R$2:$AX$20,33,0)</f>
        <v>#N/A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s="2">
        <v>0</v>
      </c>
      <c r="Z93" t="s">
        <v>9</v>
      </c>
      <c r="AA93" t="s">
        <v>9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t="s">
        <v>9</v>
      </c>
      <c r="AQ93" t="s">
        <v>9</v>
      </c>
      <c r="AR93" t="s">
        <v>9</v>
      </c>
      <c r="CZ93" t="s">
        <v>679</v>
      </c>
    </row>
    <row r="94" spans="1:104" x14ac:dyDescent="0.25">
      <c r="A94" t="s">
        <v>74</v>
      </c>
      <c r="B94" t="s">
        <v>559</v>
      </c>
      <c r="C94" t="s">
        <v>32</v>
      </c>
      <c r="D94" t="s">
        <v>3</v>
      </c>
      <c r="E94" t="s">
        <v>4</v>
      </c>
      <c r="F94" t="s">
        <v>5</v>
      </c>
      <c r="G94" t="s">
        <v>6</v>
      </c>
      <c r="H94" s="2">
        <v>50000</v>
      </c>
      <c r="I94" s="2">
        <v>50000</v>
      </c>
      <c r="J94" s="2">
        <v>0</v>
      </c>
      <c r="K94" s="2">
        <v>50000</v>
      </c>
      <c r="L94" t="s">
        <v>7</v>
      </c>
      <c r="M94" t="s">
        <v>8</v>
      </c>
      <c r="N94" t="s">
        <v>9</v>
      </c>
      <c r="O94" t="s">
        <v>9</v>
      </c>
      <c r="P94" t="s">
        <v>9</v>
      </c>
      <c r="Q94" t="s">
        <v>77</v>
      </c>
      <c r="R94" t="str">
        <f t="shared" si="2"/>
        <v>131500007026DIPIKA</v>
      </c>
      <c r="S94" t="e">
        <f>VLOOKUP(R94,[2]Sheet1!$R$2:$AX$20,33,0)</f>
        <v>#N/A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s="2">
        <v>0</v>
      </c>
      <c r="Z94" t="s">
        <v>9</v>
      </c>
      <c r="AA94" t="s">
        <v>9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t="s">
        <v>9</v>
      </c>
      <c r="AQ94" t="s">
        <v>9</v>
      </c>
      <c r="AR94" t="s">
        <v>9</v>
      </c>
      <c r="CZ94" t="s">
        <v>684</v>
      </c>
    </row>
    <row r="95" spans="1:104" x14ac:dyDescent="0.25">
      <c r="A95" t="s">
        <v>74</v>
      </c>
      <c r="B95" t="s">
        <v>560</v>
      </c>
      <c r="C95" t="s">
        <v>32</v>
      </c>
      <c r="D95" t="s">
        <v>3</v>
      </c>
      <c r="E95" t="s">
        <v>4</v>
      </c>
      <c r="F95" t="s">
        <v>5</v>
      </c>
      <c r="G95" t="s">
        <v>6</v>
      </c>
      <c r="H95" s="2">
        <v>80000</v>
      </c>
      <c r="I95" s="2">
        <v>80000</v>
      </c>
      <c r="J95" s="2">
        <v>0</v>
      </c>
      <c r="K95" s="2">
        <v>80000</v>
      </c>
      <c r="L95" t="s">
        <v>7</v>
      </c>
      <c r="M95" t="s">
        <v>8</v>
      </c>
      <c r="N95" t="s">
        <v>9</v>
      </c>
      <c r="O95" t="s">
        <v>9</v>
      </c>
      <c r="P95" t="s">
        <v>9</v>
      </c>
      <c r="Q95" t="s">
        <v>77</v>
      </c>
      <c r="R95" t="str">
        <f t="shared" si="2"/>
        <v>131500007026DIPIKA</v>
      </c>
      <c r="S95" t="e">
        <f>VLOOKUP(R95,[2]Sheet1!$R$2:$AX$20,33,0)</f>
        <v>#N/A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s="2">
        <v>0</v>
      </c>
      <c r="Z95" t="s">
        <v>9</v>
      </c>
      <c r="AA95" t="s">
        <v>9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t="s">
        <v>9</v>
      </c>
      <c r="AQ95" t="s">
        <v>9</v>
      </c>
      <c r="AR95" t="s">
        <v>9</v>
      </c>
      <c r="CZ95" t="s">
        <v>684</v>
      </c>
    </row>
    <row r="96" spans="1:104" x14ac:dyDescent="0.25">
      <c r="A96" t="s">
        <v>74</v>
      </c>
      <c r="B96" t="s">
        <v>561</v>
      </c>
      <c r="C96" t="s">
        <v>32</v>
      </c>
      <c r="D96" t="s">
        <v>3</v>
      </c>
      <c r="E96" t="s">
        <v>4</v>
      </c>
      <c r="F96" t="s">
        <v>5</v>
      </c>
      <c r="G96" t="s">
        <v>6</v>
      </c>
      <c r="H96" s="2">
        <v>20000</v>
      </c>
      <c r="I96" s="2">
        <v>20000</v>
      </c>
      <c r="J96" s="2">
        <v>0</v>
      </c>
      <c r="K96" s="2">
        <v>20000</v>
      </c>
      <c r="L96" t="s">
        <v>7</v>
      </c>
      <c r="M96" t="s">
        <v>8</v>
      </c>
      <c r="N96" t="s">
        <v>9</v>
      </c>
      <c r="O96" t="s">
        <v>9</v>
      </c>
      <c r="P96" t="s">
        <v>9</v>
      </c>
      <c r="Q96" t="s">
        <v>77</v>
      </c>
      <c r="R96" t="str">
        <f t="shared" si="2"/>
        <v>131500007022DIPIKA</v>
      </c>
      <c r="S96" t="e">
        <f>VLOOKUP(R96,[2]Sheet1!$R$2:$AX$20,33,0)</f>
        <v>#N/A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s="2">
        <v>0</v>
      </c>
      <c r="Z96" t="s">
        <v>9</v>
      </c>
      <c r="AA96" t="s">
        <v>9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t="s">
        <v>9</v>
      </c>
      <c r="AQ96" t="s">
        <v>9</v>
      </c>
      <c r="AR96" t="s">
        <v>9</v>
      </c>
      <c r="CZ96" t="s">
        <v>680</v>
      </c>
    </row>
    <row r="97" spans="1:104" x14ac:dyDescent="0.25">
      <c r="A97" t="s">
        <v>74</v>
      </c>
      <c r="B97" t="s">
        <v>562</v>
      </c>
      <c r="C97" t="s">
        <v>32</v>
      </c>
      <c r="D97" t="s">
        <v>3</v>
      </c>
      <c r="E97" t="s">
        <v>4</v>
      </c>
      <c r="F97" t="s">
        <v>5</v>
      </c>
      <c r="G97" t="s">
        <v>6</v>
      </c>
      <c r="H97" s="2">
        <v>10000</v>
      </c>
      <c r="I97" s="2">
        <v>10000</v>
      </c>
      <c r="J97" s="2">
        <v>0</v>
      </c>
      <c r="K97" s="2">
        <v>10000</v>
      </c>
      <c r="L97" t="s">
        <v>7</v>
      </c>
      <c r="M97" t="s">
        <v>8</v>
      </c>
      <c r="N97" t="s">
        <v>9</v>
      </c>
      <c r="O97" t="s">
        <v>9</v>
      </c>
      <c r="P97" t="s">
        <v>9</v>
      </c>
      <c r="Q97" t="s">
        <v>77</v>
      </c>
      <c r="R97" t="str">
        <f t="shared" si="2"/>
        <v>131500007022DIPIKA</v>
      </c>
      <c r="S97" t="e">
        <f>VLOOKUP(R97,[2]Sheet1!$R$2:$AX$20,33,0)</f>
        <v>#N/A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s="2">
        <v>0</v>
      </c>
      <c r="Z97" t="s">
        <v>9</v>
      </c>
      <c r="AA97" t="s">
        <v>9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t="s">
        <v>9</v>
      </c>
      <c r="AQ97" t="s">
        <v>9</v>
      </c>
      <c r="AR97" t="s">
        <v>9</v>
      </c>
      <c r="CZ97" t="s">
        <v>680</v>
      </c>
    </row>
    <row r="98" spans="1:104" x14ac:dyDescent="0.25">
      <c r="A98" t="s">
        <v>74</v>
      </c>
      <c r="B98" t="s">
        <v>563</v>
      </c>
      <c r="C98" t="s">
        <v>32</v>
      </c>
      <c r="D98" t="s">
        <v>3</v>
      </c>
      <c r="E98" t="s">
        <v>4</v>
      </c>
      <c r="F98" t="s">
        <v>5</v>
      </c>
      <c r="G98" t="s">
        <v>6</v>
      </c>
      <c r="H98" s="2">
        <v>20000</v>
      </c>
      <c r="I98" s="2">
        <v>20000</v>
      </c>
      <c r="J98" s="2">
        <v>0</v>
      </c>
      <c r="K98" s="2">
        <v>20000</v>
      </c>
      <c r="L98" t="s">
        <v>7</v>
      </c>
      <c r="M98" t="s">
        <v>8</v>
      </c>
      <c r="N98" t="s">
        <v>9</v>
      </c>
      <c r="O98" t="s">
        <v>9</v>
      </c>
      <c r="P98" t="s">
        <v>9</v>
      </c>
      <c r="Q98" t="s">
        <v>77</v>
      </c>
      <c r="R98" t="str">
        <f t="shared" si="2"/>
        <v>131500007022DIPIKA</v>
      </c>
      <c r="S98" t="e">
        <f>VLOOKUP(R98,[2]Sheet1!$R$2:$AX$20,33,0)</f>
        <v>#N/A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s="2">
        <v>0</v>
      </c>
      <c r="Z98" t="s">
        <v>9</v>
      </c>
      <c r="AA98" t="s">
        <v>9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t="s">
        <v>9</v>
      </c>
      <c r="AQ98" t="s">
        <v>9</v>
      </c>
      <c r="AR98" t="s">
        <v>9</v>
      </c>
      <c r="CZ98" t="s">
        <v>680</v>
      </c>
    </row>
    <row r="99" spans="1:104" x14ac:dyDescent="0.25">
      <c r="A99" t="s">
        <v>74</v>
      </c>
      <c r="B99" t="s">
        <v>564</v>
      </c>
      <c r="C99" t="s">
        <v>32</v>
      </c>
      <c r="D99" t="s">
        <v>3</v>
      </c>
      <c r="E99" t="s">
        <v>4</v>
      </c>
      <c r="F99" t="s">
        <v>5</v>
      </c>
      <c r="G99" t="s">
        <v>6</v>
      </c>
      <c r="H99" s="2">
        <v>10000</v>
      </c>
      <c r="I99" s="2">
        <v>10000</v>
      </c>
      <c r="J99" s="2">
        <v>0</v>
      </c>
      <c r="K99" s="2">
        <v>10000</v>
      </c>
      <c r="L99" t="s">
        <v>7</v>
      </c>
      <c r="M99" t="s">
        <v>8</v>
      </c>
      <c r="N99" t="s">
        <v>9</v>
      </c>
      <c r="O99" t="s">
        <v>9</v>
      </c>
      <c r="P99" t="s">
        <v>9</v>
      </c>
      <c r="Q99" t="s">
        <v>77</v>
      </c>
      <c r="R99" t="str">
        <f t="shared" si="2"/>
        <v>131500007020DIPIKA</v>
      </c>
      <c r="S99" t="e">
        <f>VLOOKUP(R99,[2]Sheet1!$R$2:$AX$20,33,0)</f>
        <v>#N/A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s="2">
        <v>0</v>
      </c>
      <c r="Z99" t="s">
        <v>9</v>
      </c>
      <c r="AA99" t="s">
        <v>9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t="s">
        <v>9</v>
      </c>
      <c r="AQ99" t="s">
        <v>9</v>
      </c>
      <c r="AR99" t="s">
        <v>9</v>
      </c>
      <c r="CZ99" t="s">
        <v>681</v>
      </c>
    </row>
    <row r="100" spans="1:104" x14ac:dyDescent="0.25">
      <c r="A100" t="s">
        <v>74</v>
      </c>
      <c r="B100" t="s">
        <v>565</v>
      </c>
      <c r="C100" t="s">
        <v>32</v>
      </c>
      <c r="D100" t="s">
        <v>3</v>
      </c>
      <c r="E100" t="s">
        <v>4</v>
      </c>
      <c r="F100" t="s">
        <v>5</v>
      </c>
      <c r="G100" t="s">
        <v>6</v>
      </c>
      <c r="H100" s="2">
        <v>15000</v>
      </c>
      <c r="I100" s="2">
        <v>15000</v>
      </c>
      <c r="J100" s="2">
        <v>0</v>
      </c>
      <c r="K100" s="2">
        <v>15000</v>
      </c>
      <c r="L100" t="s">
        <v>7</v>
      </c>
      <c r="M100" t="s">
        <v>8</v>
      </c>
      <c r="N100" t="s">
        <v>9</v>
      </c>
      <c r="O100" t="s">
        <v>9</v>
      </c>
      <c r="P100" t="s">
        <v>9</v>
      </c>
      <c r="Q100" t="s">
        <v>77</v>
      </c>
      <c r="R100" t="str">
        <f t="shared" si="2"/>
        <v>131500007020DIPIKA</v>
      </c>
      <c r="S100" t="e">
        <f>VLOOKUP(R100,[2]Sheet1!$R$2:$AX$20,33,0)</f>
        <v>#N/A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s="2">
        <v>0</v>
      </c>
      <c r="Z100" t="s">
        <v>9</v>
      </c>
      <c r="AA100" t="s">
        <v>9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t="s">
        <v>9</v>
      </c>
      <c r="AQ100" t="s">
        <v>9</v>
      </c>
      <c r="AR100" t="s">
        <v>9</v>
      </c>
      <c r="CZ100" t="s">
        <v>681</v>
      </c>
    </row>
    <row r="101" spans="1:104" x14ac:dyDescent="0.25">
      <c r="A101" t="s">
        <v>74</v>
      </c>
      <c r="B101" t="s">
        <v>566</v>
      </c>
      <c r="C101" t="s">
        <v>32</v>
      </c>
      <c r="D101" t="s">
        <v>3</v>
      </c>
      <c r="E101" t="s">
        <v>4</v>
      </c>
      <c r="F101" t="s">
        <v>5</v>
      </c>
      <c r="G101" t="s">
        <v>6</v>
      </c>
      <c r="H101" s="2">
        <v>9000</v>
      </c>
      <c r="I101" s="2">
        <v>9000</v>
      </c>
      <c r="J101" s="2">
        <v>0</v>
      </c>
      <c r="K101" s="2">
        <v>9000</v>
      </c>
      <c r="L101" t="s">
        <v>7</v>
      </c>
      <c r="M101" t="s">
        <v>8</v>
      </c>
      <c r="N101" t="s">
        <v>9</v>
      </c>
      <c r="O101" t="s">
        <v>9</v>
      </c>
      <c r="P101" t="s">
        <v>9</v>
      </c>
      <c r="Q101" t="s">
        <v>77</v>
      </c>
      <c r="R101" t="str">
        <f t="shared" si="2"/>
        <v>131500007018DIPIKA</v>
      </c>
      <c r="S101" t="e">
        <f>VLOOKUP(R101,[2]Sheet1!$R$2:$AX$20,33,0)</f>
        <v>#N/A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s="2">
        <v>0</v>
      </c>
      <c r="Z101" t="s">
        <v>9</v>
      </c>
      <c r="AA101" t="s">
        <v>9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t="s">
        <v>9</v>
      </c>
      <c r="AQ101" t="s">
        <v>9</v>
      </c>
      <c r="AR101" t="s">
        <v>9</v>
      </c>
      <c r="CZ101" t="s">
        <v>679</v>
      </c>
    </row>
    <row r="102" spans="1:104" x14ac:dyDescent="0.25">
      <c r="A102" t="s">
        <v>74</v>
      </c>
      <c r="B102" t="s">
        <v>567</v>
      </c>
      <c r="C102" t="s">
        <v>32</v>
      </c>
      <c r="D102" t="s">
        <v>3</v>
      </c>
      <c r="E102" t="s">
        <v>4</v>
      </c>
      <c r="F102" t="s">
        <v>5</v>
      </c>
      <c r="G102" t="s">
        <v>6</v>
      </c>
      <c r="H102" s="2">
        <v>7000</v>
      </c>
      <c r="I102" s="2">
        <v>7000</v>
      </c>
      <c r="J102" s="2">
        <v>0</v>
      </c>
      <c r="K102" s="2">
        <v>7000</v>
      </c>
      <c r="L102" t="s">
        <v>7</v>
      </c>
      <c r="M102" t="s">
        <v>8</v>
      </c>
      <c r="N102" t="s">
        <v>9</v>
      </c>
      <c r="O102" t="s">
        <v>9</v>
      </c>
      <c r="P102" t="s">
        <v>9</v>
      </c>
      <c r="Q102" t="s">
        <v>77</v>
      </c>
      <c r="R102" t="str">
        <f t="shared" si="2"/>
        <v>131500007022DIPIKA</v>
      </c>
      <c r="S102" t="e">
        <f>VLOOKUP(R102,[2]Sheet1!$R$2:$AX$20,33,0)</f>
        <v>#N/A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s="2">
        <v>0</v>
      </c>
      <c r="Z102" t="s">
        <v>9</v>
      </c>
      <c r="AA102" t="s">
        <v>9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t="s">
        <v>9</v>
      </c>
      <c r="AQ102" t="s">
        <v>9</v>
      </c>
      <c r="AR102" t="s">
        <v>9</v>
      </c>
      <c r="CZ102" t="s">
        <v>680</v>
      </c>
    </row>
    <row r="103" spans="1:104" x14ac:dyDescent="0.25">
      <c r="A103" t="s">
        <v>74</v>
      </c>
      <c r="B103" t="s">
        <v>568</v>
      </c>
      <c r="C103" t="s">
        <v>32</v>
      </c>
      <c r="D103" t="s">
        <v>3</v>
      </c>
      <c r="E103" t="s">
        <v>4</v>
      </c>
      <c r="F103" t="s">
        <v>5</v>
      </c>
      <c r="G103" t="s">
        <v>6</v>
      </c>
      <c r="H103" s="2">
        <v>15000</v>
      </c>
      <c r="I103" s="2">
        <v>15000</v>
      </c>
      <c r="J103" s="2">
        <v>0</v>
      </c>
      <c r="K103" s="2">
        <v>15000</v>
      </c>
      <c r="L103" t="s">
        <v>7</v>
      </c>
      <c r="M103" t="s">
        <v>8</v>
      </c>
      <c r="N103" t="s">
        <v>9</v>
      </c>
      <c r="O103" t="s">
        <v>9</v>
      </c>
      <c r="P103" t="s">
        <v>9</v>
      </c>
      <c r="Q103" t="s">
        <v>77</v>
      </c>
      <c r="R103" t="str">
        <f t="shared" si="2"/>
        <v>131500007026DIPIKA</v>
      </c>
      <c r="S103" t="e">
        <f>VLOOKUP(R103,[2]Sheet1!$R$2:$AX$20,33,0)</f>
        <v>#N/A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s="2">
        <v>0</v>
      </c>
      <c r="Z103" t="s">
        <v>9</v>
      </c>
      <c r="AA103" t="s">
        <v>9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t="s">
        <v>9</v>
      </c>
      <c r="AQ103" t="s">
        <v>9</v>
      </c>
      <c r="AR103" t="s">
        <v>9</v>
      </c>
      <c r="CZ103" t="s">
        <v>684</v>
      </c>
    </row>
    <row r="104" spans="1:104" x14ac:dyDescent="0.25">
      <c r="A104" t="s">
        <v>74</v>
      </c>
      <c r="B104" t="s">
        <v>569</v>
      </c>
      <c r="C104" t="s">
        <v>32</v>
      </c>
      <c r="D104" t="s">
        <v>3</v>
      </c>
      <c r="E104" t="s">
        <v>4</v>
      </c>
      <c r="F104" t="s">
        <v>5</v>
      </c>
      <c r="G104" t="s">
        <v>6</v>
      </c>
      <c r="H104" s="2">
        <v>15000</v>
      </c>
      <c r="I104" s="2">
        <v>15000</v>
      </c>
      <c r="J104" s="2">
        <v>0</v>
      </c>
      <c r="K104" s="2">
        <v>15000</v>
      </c>
      <c r="L104" t="s">
        <v>7</v>
      </c>
      <c r="M104" t="s">
        <v>8</v>
      </c>
      <c r="N104" t="s">
        <v>9</v>
      </c>
      <c r="O104" t="s">
        <v>9</v>
      </c>
      <c r="P104" t="s">
        <v>9</v>
      </c>
      <c r="Q104" t="s">
        <v>77</v>
      </c>
      <c r="R104" t="str">
        <f t="shared" si="2"/>
        <v>131500007022DIPIKA</v>
      </c>
      <c r="S104" t="e">
        <f>VLOOKUP(R104,[2]Sheet1!$R$2:$AX$20,33,0)</f>
        <v>#N/A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s="2">
        <v>0</v>
      </c>
      <c r="Z104" t="s">
        <v>9</v>
      </c>
      <c r="AA104" t="s">
        <v>9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t="s">
        <v>9</v>
      </c>
      <c r="AQ104" t="s">
        <v>9</v>
      </c>
      <c r="AR104" t="s">
        <v>9</v>
      </c>
      <c r="CZ104" t="s">
        <v>680</v>
      </c>
    </row>
    <row r="105" spans="1:104" x14ac:dyDescent="0.25">
      <c r="A105" t="s">
        <v>74</v>
      </c>
      <c r="B105" t="s">
        <v>570</v>
      </c>
      <c r="C105" t="s">
        <v>32</v>
      </c>
      <c r="D105" t="s">
        <v>3</v>
      </c>
      <c r="E105" t="s">
        <v>4</v>
      </c>
      <c r="F105" t="s">
        <v>5</v>
      </c>
      <c r="G105" t="s">
        <v>6</v>
      </c>
      <c r="H105" s="2">
        <v>5000</v>
      </c>
      <c r="I105" s="2">
        <v>5000</v>
      </c>
      <c r="J105" s="2">
        <v>0</v>
      </c>
      <c r="K105" s="2">
        <v>5000</v>
      </c>
      <c r="L105" t="s">
        <v>7</v>
      </c>
      <c r="M105" t="s">
        <v>8</v>
      </c>
      <c r="N105" t="s">
        <v>9</v>
      </c>
      <c r="O105" t="s">
        <v>9</v>
      </c>
      <c r="P105" t="s">
        <v>9</v>
      </c>
      <c r="Q105" t="s">
        <v>77</v>
      </c>
      <c r="R105" t="str">
        <f t="shared" si="2"/>
        <v>131500007020DIPIKA</v>
      </c>
      <c r="S105" t="e">
        <f>VLOOKUP(R105,[2]Sheet1!$R$2:$AX$20,33,0)</f>
        <v>#N/A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s="2">
        <v>0</v>
      </c>
      <c r="Z105" t="s">
        <v>9</v>
      </c>
      <c r="AA105" t="s">
        <v>9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t="s">
        <v>9</v>
      </c>
      <c r="AQ105" t="s">
        <v>9</v>
      </c>
      <c r="AR105" t="s">
        <v>9</v>
      </c>
      <c r="CZ105" t="s">
        <v>681</v>
      </c>
    </row>
    <row r="106" spans="1:104" x14ac:dyDescent="0.25">
      <c r="A106" t="s">
        <v>74</v>
      </c>
      <c r="B106" t="s">
        <v>571</v>
      </c>
      <c r="C106" t="s">
        <v>32</v>
      </c>
      <c r="D106" t="s">
        <v>3</v>
      </c>
      <c r="E106" t="s">
        <v>4</v>
      </c>
      <c r="F106" t="s">
        <v>5</v>
      </c>
      <c r="G106" t="s">
        <v>6</v>
      </c>
      <c r="H106" s="2">
        <v>100</v>
      </c>
      <c r="I106" s="2">
        <v>100</v>
      </c>
      <c r="J106" s="2">
        <v>0</v>
      </c>
      <c r="K106" s="2">
        <v>100</v>
      </c>
      <c r="L106" t="s">
        <v>7</v>
      </c>
      <c r="M106" t="s">
        <v>9</v>
      </c>
      <c r="N106" t="s">
        <v>9</v>
      </c>
      <c r="O106" t="s">
        <v>9</v>
      </c>
      <c r="P106" t="s">
        <v>9</v>
      </c>
      <c r="Q106" t="s">
        <v>77</v>
      </c>
      <c r="R106" t="str">
        <f t="shared" si="2"/>
        <v>131500007014DIPIKA</v>
      </c>
      <c r="S106" t="e">
        <f>VLOOKUP(R106,[2]Sheet1!$R$2:$AX$20,33,0)</f>
        <v>#N/A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s="2">
        <v>0</v>
      </c>
      <c r="Z106" t="s">
        <v>9</v>
      </c>
      <c r="AA106" t="s">
        <v>9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t="s">
        <v>9</v>
      </c>
      <c r="AQ106" t="s">
        <v>9</v>
      </c>
      <c r="AR106" t="s">
        <v>9</v>
      </c>
      <c r="CZ106" t="s">
        <v>78</v>
      </c>
    </row>
    <row r="107" spans="1:104" x14ac:dyDescent="0.25">
      <c r="A107" t="s">
        <v>74</v>
      </c>
      <c r="B107" t="s">
        <v>572</v>
      </c>
      <c r="C107" t="s">
        <v>32</v>
      </c>
      <c r="D107" t="s">
        <v>3</v>
      </c>
      <c r="E107" t="s">
        <v>4</v>
      </c>
      <c r="F107" t="s">
        <v>5</v>
      </c>
      <c r="G107" t="s">
        <v>6</v>
      </c>
      <c r="H107" s="2">
        <v>100</v>
      </c>
      <c r="I107" s="2">
        <v>100</v>
      </c>
      <c r="J107" s="2">
        <v>0</v>
      </c>
      <c r="K107" s="2">
        <v>100</v>
      </c>
      <c r="L107" t="s">
        <v>7</v>
      </c>
      <c r="M107" t="s">
        <v>9</v>
      </c>
      <c r="N107" t="s">
        <v>9</v>
      </c>
      <c r="O107" t="s">
        <v>9</v>
      </c>
      <c r="P107" t="s">
        <v>9</v>
      </c>
      <c r="Q107" t="s">
        <v>77</v>
      </c>
      <c r="R107" t="str">
        <f t="shared" si="2"/>
        <v>131500007014DIPIKA</v>
      </c>
      <c r="S107" t="e">
        <f>VLOOKUP(R107,[2]Sheet1!$R$2:$AX$20,33,0)</f>
        <v>#N/A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s="2">
        <v>0</v>
      </c>
      <c r="Z107" t="s">
        <v>9</v>
      </c>
      <c r="AA107" t="s">
        <v>9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t="s">
        <v>9</v>
      </c>
      <c r="AQ107" t="s">
        <v>9</v>
      </c>
      <c r="AR107" t="s">
        <v>9</v>
      </c>
      <c r="CZ107" t="s">
        <v>78</v>
      </c>
    </row>
    <row r="108" spans="1:104" x14ac:dyDescent="0.25">
      <c r="A108" t="s">
        <v>74</v>
      </c>
      <c r="B108" t="s">
        <v>573</v>
      </c>
      <c r="C108" t="s">
        <v>32</v>
      </c>
      <c r="D108" t="s">
        <v>3</v>
      </c>
      <c r="E108" t="s">
        <v>4</v>
      </c>
      <c r="F108" t="s">
        <v>5</v>
      </c>
      <c r="G108" t="s">
        <v>6</v>
      </c>
      <c r="H108" s="2">
        <v>101</v>
      </c>
      <c r="I108" s="2">
        <v>101</v>
      </c>
      <c r="J108" s="2">
        <v>0</v>
      </c>
      <c r="K108" s="2">
        <v>101</v>
      </c>
      <c r="L108" t="s">
        <v>7</v>
      </c>
      <c r="M108" t="s">
        <v>8</v>
      </c>
      <c r="N108" t="s">
        <v>9</v>
      </c>
      <c r="O108" t="s">
        <v>9</v>
      </c>
      <c r="P108" t="s">
        <v>9</v>
      </c>
      <c r="Q108" t="s">
        <v>77</v>
      </c>
      <c r="R108" t="str">
        <f t="shared" si="2"/>
        <v>131500007022DIPIKA</v>
      </c>
      <c r="S108" t="e">
        <f>VLOOKUP(R108,[2]Sheet1!$R$2:$AX$20,33,0)</f>
        <v>#N/A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s="2">
        <v>0</v>
      </c>
      <c r="Z108" t="s">
        <v>9</v>
      </c>
      <c r="AA108" t="s">
        <v>9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t="s">
        <v>9</v>
      </c>
      <c r="AQ108" t="s">
        <v>9</v>
      </c>
      <c r="AR108" t="s">
        <v>9</v>
      </c>
      <c r="CZ108" t="s">
        <v>680</v>
      </c>
    </row>
    <row r="109" spans="1:104" x14ac:dyDescent="0.25">
      <c r="A109" t="s">
        <v>74</v>
      </c>
      <c r="B109" t="s">
        <v>574</v>
      </c>
      <c r="C109" t="s">
        <v>32</v>
      </c>
      <c r="D109" t="s">
        <v>3</v>
      </c>
      <c r="E109" t="s">
        <v>4</v>
      </c>
      <c r="F109" t="s">
        <v>5</v>
      </c>
      <c r="G109" t="s">
        <v>6</v>
      </c>
      <c r="H109" s="2">
        <v>201</v>
      </c>
      <c r="I109" s="2">
        <v>201</v>
      </c>
      <c r="J109" s="2">
        <v>0</v>
      </c>
      <c r="K109" s="2">
        <v>201</v>
      </c>
      <c r="L109" t="s">
        <v>7</v>
      </c>
      <c r="M109" t="s">
        <v>8</v>
      </c>
      <c r="N109" t="s">
        <v>9</v>
      </c>
      <c r="O109" t="s">
        <v>9</v>
      </c>
      <c r="P109" t="s">
        <v>9</v>
      </c>
      <c r="Q109" t="s">
        <v>77</v>
      </c>
      <c r="R109" t="str">
        <f t="shared" si="2"/>
        <v>131500007022DIPIKA</v>
      </c>
      <c r="S109" t="e">
        <f>VLOOKUP(R109,[2]Sheet1!$R$2:$AX$20,33,0)</f>
        <v>#N/A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s="2">
        <v>0</v>
      </c>
      <c r="Z109" t="s">
        <v>9</v>
      </c>
      <c r="AA109" t="s">
        <v>9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t="s">
        <v>9</v>
      </c>
      <c r="AQ109" t="s">
        <v>9</v>
      </c>
      <c r="AR109" t="s">
        <v>9</v>
      </c>
      <c r="CZ109" t="s">
        <v>680</v>
      </c>
    </row>
    <row r="110" spans="1:104" x14ac:dyDescent="0.25">
      <c r="A110" t="s">
        <v>74</v>
      </c>
      <c r="B110" t="s">
        <v>575</v>
      </c>
      <c r="C110" t="s">
        <v>32</v>
      </c>
      <c r="D110" t="s">
        <v>3</v>
      </c>
      <c r="E110" t="s">
        <v>4</v>
      </c>
      <c r="F110" t="s">
        <v>5</v>
      </c>
      <c r="G110" t="s">
        <v>6</v>
      </c>
      <c r="H110" s="2">
        <v>301</v>
      </c>
      <c r="I110" s="2">
        <v>301</v>
      </c>
      <c r="J110" s="2">
        <v>0</v>
      </c>
      <c r="K110" s="2">
        <v>301</v>
      </c>
      <c r="L110" t="s">
        <v>7</v>
      </c>
      <c r="M110" t="s">
        <v>8</v>
      </c>
      <c r="N110" t="s">
        <v>9</v>
      </c>
      <c r="O110" t="s">
        <v>9</v>
      </c>
      <c r="P110" t="s">
        <v>9</v>
      </c>
      <c r="Q110" t="s">
        <v>77</v>
      </c>
      <c r="R110" t="str">
        <f t="shared" si="2"/>
        <v>131500007022DIPIKA</v>
      </c>
      <c r="S110" t="e">
        <f>VLOOKUP(R110,[2]Sheet1!$R$2:$AX$20,33,0)</f>
        <v>#N/A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s="2">
        <v>0</v>
      </c>
      <c r="Z110" t="s">
        <v>9</v>
      </c>
      <c r="AA110" t="s">
        <v>9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t="s">
        <v>9</v>
      </c>
      <c r="AQ110" t="s">
        <v>9</v>
      </c>
      <c r="AR110" t="s">
        <v>9</v>
      </c>
      <c r="CZ110" t="s">
        <v>680</v>
      </c>
    </row>
    <row r="111" spans="1:104" x14ac:dyDescent="0.25">
      <c r="A111" t="s">
        <v>74</v>
      </c>
      <c r="B111" t="s">
        <v>576</v>
      </c>
      <c r="C111" t="s">
        <v>32</v>
      </c>
      <c r="D111" t="s">
        <v>3</v>
      </c>
      <c r="E111" t="s">
        <v>4</v>
      </c>
      <c r="F111" t="s">
        <v>5</v>
      </c>
      <c r="G111" t="s">
        <v>6</v>
      </c>
      <c r="H111" s="2">
        <v>401</v>
      </c>
      <c r="I111" s="2">
        <v>401</v>
      </c>
      <c r="J111" s="2">
        <v>0</v>
      </c>
      <c r="K111" s="2">
        <v>401</v>
      </c>
      <c r="L111" t="s">
        <v>7</v>
      </c>
      <c r="M111" t="s">
        <v>8</v>
      </c>
      <c r="N111" t="s">
        <v>9</v>
      </c>
      <c r="O111" t="s">
        <v>9</v>
      </c>
      <c r="P111" t="s">
        <v>9</v>
      </c>
      <c r="Q111" t="s">
        <v>77</v>
      </c>
      <c r="R111" t="str">
        <f t="shared" si="2"/>
        <v>131500007022DIPIKA</v>
      </c>
      <c r="S111" t="e">
        <f>VLOOKUP(R111,[2]Sheet1!$R$2:$AX$20,33,0)</f>
        <v>#N/A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s="2">
        <v>0</v>
      </c>
      <c r="Z111" t="s">
        <v>9</v>
      </c>
      <c r="AA111" t="s">
        <v>9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t="s">
        <v>9</v>
      </c>
      <c r="AQ111" t="s">
        <v>9</v>
      </c>
      <c r="AR111" t="s">
        <v>9</v>
      </c>
      <c r="CZ111" t="s">
        <v>680</v>
      </c>
    </row>
    <row r="112" spans="1:104" x14ac:dyDescent="0.25">
      <c r="A112" t="s">
        <v>74</v>
      </c>
      <c r="B112" t="s">
        <v>577</v>
      </c>
      <c r="C112" t="s">
        <v>32</v>
      </c>
      <c r="D112" t="s">
        <v>3</v>
      </c>
      <c r="E112" t="s">
        <v>4</v>
      </c>
      <c r="F112" t="s">
        <v>5</v>
      </c>
      <c r="G112" t="s">
        <v>6</v>
      </c>
      <c r="H112" s="2">
        <v>501</v>
      </c>
      <c r="I112" s="2">
        <v>501</v>
      </c>
      <c r="J112" s="2">
        <v>0</v>
      </c>
      <c r="K112" s="2">
        <v>501</v>
      </c>
      <c r="L112" t="s">
        <v>7</v>
      </c>
      <c r="M112" t="s">
        <v>8</v>
      </c>
      <c r="N112" t="s">
        <v>9</v>
      </c>
      <c r="O112" t="s">
        <v>9</v>
      </c>
      <c r="P112" t="s">
        <v>9</v>
      </c>
      <c r="Q112" t="s">
        <v>77</v>
      </c>
      <c r="R112" t="str">
        <f t="shared" si="2"/>
        <v>131500007022DIPIKA</v>
      </c>
      <c r="S112" t="e">
        <f>VLOOKUP(R112,[2]Sheet1!$R$2:$AX$20,33,0)</f>
        <v>#N/A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s="2">
        <v>0</v>
      </c>
      <c r="Z112" t="s">
        <v>9</v>
      </c>
      <c r="AA112" t="s">
        <v>9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t="s">
        <v>9</v>
      </c>
      <c r="AQ112" t="s">
        <v>9</v>
      </c>
      <c r="AR112" t="s">
        <v>9</v>
      </c>
      <c r="CZ112" t="s">
        <v>680</v>
      </c>
    </row>
    <row r="113" spans="1:104" x14ac:dyDescent="0.25">
      <c r="A113" t="s">
        <v>74</v>
      </c>
      <c r="B113" t="s">
        <v>578</v>
      </c>
      <c r="C113" t="s">
        <v>32</v>
      </c>
      <c r="D113" t="s">
        <v>3</v>
      </c>
      <c r="E113" t="s">
        <v>4</v>
      </c>
      <c r="F113" t="s">
        <v>5</v>
      </c>
      <c r="G113" t="s">
        <v>6</v>
      </c>
      <c r="H113" s="2">
        <v>601</v>
      </c>
      <c r="I113" s="2">
        <v>601</v>
      </c>
      <c r="J113" s="2">
        <v>0</v>
      </c>
      <c r="K113" s="2">
        <v>601</v>
      </c>
      <c r="L113" t="s">
        <v>7</v>
      </c>
      <c r="M113" t="s">
        <v>8</v>
      </c>
      <c r="N113" t="s">
        <v>9</v>
      </c>
      <c r="O113" t="s">
        <v>9</v>
      </c>
      <c r="P113" t="s">
        <v>9</v>
      </c>
      <c r="Q113" t="s">
        <v>77</v>
      </c>
      <c r="R113" t="str">
        <f t="shared" si="2"/>
        <v>131500007022DIPIKA</v>
      </c>
      <c r="S113" t="e">
        <f>VLOOKUP(R113,[2]Sheet1!$R$2:$AX$20,33,0)</f>
        <v>#N/A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s="2">
        <v>0</v>
      </c>
      <c r="Z113" t="s">
        <v>9</v>
      </c>
      <c r="AA113" t="s">
        <v>9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t="s">
        <v>9</v>
      </c>
      <c r="AQ113" t="s">
        <v>9</v>
      </c>
      <c r="AR113" t="s">
        <v>9</v>
      </c>
      <c r="CZ113" t="s">
        <v>680</v>
      </c>
    </row>
    <row r="114" spans="1:104" x14ac:dyDescent="0.25">
      <c r="A114" t="s">
        <v>74</v>
      </c>
      <c r="B114" t="s">
        <v>579</v>
      </c>
      <c r="C114" t="s">
        <v>32</v>
      </c>
      <c r="D114" t="s">
        <v>3</v>
      </c>
      <c r="E114" t="s">
        <v>4</v>
      </c>
      <c r="F114" t="s">
        <v>5</v>
      </c>
      <c r="G114" t="s">
        <v>6</v>
      </c>
      <c r="H114" s="2">
        <v>1000</v>
      </c>
      <c r="I114" s="2">
        <v>1000</v>
      </c>
      <c r="J114" s="2">
        <v>0</v>
      </c>
      <c r="K114" s="2">
        <v>1000</v>
      </c>
      <c r="L114" t="s">
        <v>7</v>
      </c>
      <c r="M114" t="s">
        <v>8</v>
      </c>
      <c r="N114" t="s">
        <v>9</v>
      </c>
      <c r="O114" t="s">
        <v>9</v>
      </c>
      <c r="P114" t="s">
        <v>9</v>
      </c>
      <c r="Q114" t="s">
        <v>77</v>
      </c>
      <c r="R114" t="str">
        <f t="shared" si="2"/>
        <v>131500007022DIPIKA</v>
      </c>
      <c r="S114" t="e">
        <f>VLOOKUP(R114,[2]Sheet1!$R$2:$AX$20,33,0)</f>
        <v>#N/A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s="2">
        <v>0</v>
      </c>
      <c r="Z114" t="s">
        <v>9</v>
      </c>
      <c r="AA114" t="s">
        <v>9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t="s">
        <v>9</v>
      </c>
      <c r="AQ114" t="s">
        <v>9</v>
      </c>
      <c r="AR114" t="s">
        <v>9</v>
      </c>
      <c r="CZ114" t="s">
        <v>680</v>
      </c>
    </row>
    <row r="115" spans="1:104" x14ac:dyDescent="0.25">
      <c r="A115" t="s">
        <v>74</v>
      </c>
      <c r="B115" t="s">
        <v>580</v>
      </c>
      <c r="C115" t="s">
        <v>32</v>
      </c>
      <c r="D115" t="s">
        <v>3</v>
      </c>
      <c r="E115" t="s">
        <v>4</v>
      </c>
      <c r="F115" t="s">
        <v>5</v>
      </c>
      <c r="G115" t="s">
        <v>6</v>
      </c>
      <c r="H115" s="2">
        <v>100000</v>
      </c>
      <c r="I115" s="2">
        <v>100000</v>
      </c>
      <c r="J115" s="2">
        <v>0</v>
      </c>
      <c r="K115" s="2">
        <v>100000</v>
      </c>
      <c r="L115" t="s">
        <v>7</v>
      </c>
      <c r="M115" t="s">
        <v>8</v>
      </c>
      <c r="N115" t="s">
        <v>9</v>
      </c>
      <c r="O115" t="s">
        <v>9</v>
      </c>
      <c r="P115" t="s">
        <v>9</v>
      </c>
      <c r="Q115" t="s">
        <v>77</v>
      </c>
      <c r="R115" t="str">
        <f t="shared" si="2"/>
        <v>131500007018DIPIKA</v>
      </c>
      <c r="S115" t="e">
        <f>VLOOKUP(R115,[2]Sheet1!$R$2:$AX$20,33,0)</f>
        <v>#N/A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s="2">
        <v>0</v>
      </c>
      <c r="Z115" t="s">
        <v>9</v>
      </c>
      <c r="AA115" t="s">
        <v>9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t="s">
        <v>9</v>
      </c>
      <c r="AQ115" t="s">
        <v>9</v>
      </c>
      <c r="AR115" t="s">
        <v>9</v>
      </c>
      <c r="CZ115" t="s">
        <v>679</v>
      </c>
    </row>
    <row r="116" spans="1:104" x14ac:dyDescent="0.25">
      <c r="A116" t="s">
        <v>74</v>
      </c>
      <c r="B116" t="s">
        <v>581</v>
      </c>
      <c r="C116" t="s">
        <v>32</v>
      </c>
      <c r="D116" t="s">
        <v>3</v>
      </c>
      <c r="E116" t="s">
        <v>4</v>
      </c>
      <c r="F116" t="s">
        <v>5</v>
      </c>
      <c r="G116" t="s">
        <v>6</v>
      </c>
      <c r="H116" s="2">
        <v>2000</v>
      </c>
      <c r="I116" s="2">
        <v>2000</v>
      </c>
      <c r="J116" s="2">
        <v>0</v>
      </c>
      <c r="K116" s="2">
        <v>2000</v>
      </c>
      <c r="L116" t="s">
        <v>7</v>
      </c>
      <c r="M116" t="s">
        <v>8</v>
      </c>
      <c r="N116" t="s">
        <v>9</v>
      </c>
      <c r="O116" t="s">
        <v>9</v>
      </c>
      <c r="P116" t="s">
        <v>9</v>
      </c>
      <c r="Q116" t="s">
        <v>77</v>
      </c>
      <c r="R116" t="str">
        <f t="shared" si="2"/>
        <v>131500007022DIPIKA</v>
      </c>
      <c r="S116" t="e">
        <f>VLOOKUP(R116,[2]Sheet1!$R$2:$AX$20,33,0)</f>
        <v>#N/A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s="2">
        <v>0</v>
      </c>
      <c r="Z116" t="s">
        <v>9</v>
      </c>
      <c r="AA116" t="s">
        <v>9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t="s">
        <v>9</v>
      </c>
      <c r="AQ116" t="s">
        <v>9</v>
      </c>
      <c r="AR116" t="s">
        <v>9</v>
      </c>
      <c r="CZ116" t="s">
        <v>680</v>
      </c>
    </row>
    <row r="117" spans="1:104" x14ac:dyDescent="0.25">
      <c r="A117" t="s">
        <v>74</v>
      </c>
      <c r="B117" t="s">
        <v>582</v>
      </c>
      <c r="C117" t="s">
        <v>32</v>
      </c>
      <c r="D117" t="s">
        <v>3</v>
      </c>
      <c r="E117" t="s">
        <v>4</v>
      </c>
      <c r="F117" t="s">
        <v>5</v>
      </c>
      <c r="G117" t="s">
        <v>6</v>
      </c>
      <c r="H117" s="2">
        <v>20000</v>
      </c>
      <c r="I117" s="2">
        <v>20000</v>
      </c>
      <c r="J117" s="2">
        <v>0</v>
      </c>
      <c r="K117" s="2">
        <v>20000</v>
      </c>
      <c r="L117" t="s">
        <v>7</v>
      </c>
      <c r="M117" t="s">
        <v>8</v>
      </c>
      <c r="N117" t="s">
        <v>9</v>
      </c>
      <c r="O117" t="s">
        <v>9</v>
      </c>
      <c r="P117" t="s">
        <v>9</v>
      </c>
      <c r="Q117" t="s">
        <v>77</v>
      </c>
      <c r="R117" t="str">
        <f t="shared" si="2"/>
        <v>131500007018DIPIKA</v>
      </c>
      <c r="S117" t="e">
        <f>VLOOKUP(R117,[2]Sheet1!$R$2:$AX$20,33,0)</f>
        <v>#N/A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s="2">
        <v>0</v>
      </c>
      <c r="Z117" t="s">
        <v>9</v>
      </c>
      <c r="AA117" t="s">
        <v>9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t="s">
        <v>9</v>
      </c>
      <c r="AQ117" t="s">
        <v>9</v>
      </c>
      <c r="AR117" t="s">
        <v>9</v>
      </c>
      <c r="CZ117" t="s">
        <v>679</v>
      </c>
    </row>
    <row r="118" spans="1:104" x14ac:dyDescent="0.25">
      <c r="A118" t="s">
        <v>74</v>
      </c>
      <c r="B118" t="s">
        <v>583</v>
      </c>
      <c r="C118" t="s">
        <v>32</v>
      </c>
      <c r="D118" t="s">
        <v>3</v>
      </c>
      <c r="E118" t="s">
        <v>4</v>
      </c>
      <c r="F118" t="s">
        <v>5</v>
      </c>
      <c r="G118" t="s">
        <v>6</v>
      </c>
      <c r="H118" s="2">
        <v>3000</v>
      </c>
      <c r="I118" s="2">
        <v>3000</v>
      </c>
      <c r="J118" s="2">
        <v>0</v>
      </c>
      <c r="K118" s="2">
        <v>3000</v>
      </c>
      <c r="L118" t="s">
        <v>7</v>
      </c>
      <c r="M118" t="s">
        <v>8</v>
      </c>
      <c r="N118" t="s">
        <v>9</v>
      </c>
      <c r="O118" t="s">
        <v>9</v>
      </c>
      <c r="P118" t="s">
        <v>9</v>
      </c>
      <c r="Q118" t="s">
        <v>77</v>
      </c>
      <c r="R118" t="str">
        <f t="shared" si="2"/>
        <v>131500007022DIPIKA</v>
      </c>
      <c r="S118" t="e">
        <f>VLOOKUP(R118,[2]Sheet1!$R$2:$AX$20,33,0)</f>
        <v>#N/A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s="2">
        <v>0</v>
      </c>
      <c r="Z118" t="s">
        <v>9</v>
      </c>
      <c r="AA118" t="s">
        <v>9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t="s">
        <v>9</v>
      </c>
      <c r="AQ118" t="s">
        <v>9</v>
      </c>
      <c r="AR118" t="s">
        <v>9</v>
      </c>
      <c r="CZ118" t="s">
        <v>680</v>
      </c>
    </row>
    <row r="119" spans="1:104" x14ac:dyDescent="0.25">
      <c r="A119" t="s">
        <v>74</v>
      </c>
      <c r="B119" t="s">
        <v>584</v>
      </c>
      <c r="C119" t="s">
        <v>32</v>
      </c>
      <c r="D119" t="s">
        <v>3</v>
      </c>
      <c r="E119" t="s">
        <v>4</v>
      </c>
      <c r="F119" t="s">
        <v>5</v>
      </c>
      <c r="G119" t="s">
        <v>6</v>
      </c>
      <c r="H119" s="2">
        <v>4000</v>
      </c>
      <c r="I119" s="2">
        <v>4000</v>
      </c>
      <c r="J119" s="2">
        <v>0</v>
      </c>
      <c r="K119" s="2">
        <v>4000</v>
      </c>
      <c r="L119" t="s">
        <v>7</v>
      </c>
      <c r="M119" t="s">
        <v>8</v>
      </c>
      <c r="N119" t="s">
        <v>9</v>
      </c>
      <c r="O119" t="s">
        <v>9</v>
      </c>
      <c r="P119" t="s">
        <v>9</v>
      </c>
      <c r="Q119" t="s">
        <v>77</v>
      </c>
      <c r="R119" t="str">
        <f t="shared" si="2"/>
        <v>131500007022DIPIKA</v>
      </c>
      <c r="S119" t="e">
        <f>VLOOKUP(R119,[2]Sheet1!$R$2:$AX$20,33,0)</f>
        <v>#N/A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s="2">
        <v>0</v>
      </c>
      <c r="Z119" t="s">
        <v>9</v>
      </c>
      <c r="AA119" t="s">
        <v>9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t="s">
        <v>9</v>
      </c>
      <c r="AQ119" t="s">
        <v>9</v>
      </c>
      <c r="AR119" t="s">
        <v>9</v>
      </c>
      <c r="CZ119" t="s">
        <v>680</v>
      </c>
    </row>
    <row r="120" spans="1:104" x14ac:dyDescent="0.25">
      <c r="A120" t="s">
        <v>74</v>
      </c>
      <c r="B120" t="s">
        <v>585</v>
      </c>
      <c r="C120" t="s">
        <v>32</v>
      </c>
      <c r="D120" t="s">
        <v>3</v>
      </c>
      <c r="E120" t="s">
        <v>4</v>
      </c>
      <c r="F120" t="s">
        <v>5</v>
      </c>
      <c r="G120" t="s">
        <v>6</v>
      </c>
      <c r="H120" s="2">
        <v>5000</v>
      </c>
      <c r="I120" s="2">
        <v>5000</v>
      </c>
      <c r="J120" s="2">
        <v>0</v>
      </c>
      <c r="K120" s="2">
        <v>5000</v>
      </c>
      <c r="L120" t="s">
        <v>7</v>
      </c>
      <c r="M120" t="s">
        <v>8</v>
      </c>
      <c r="N120" t="s">
        <v>9</v>
      </c>
      <c r="O120" t="s">
        <v>9</v>
      </c>
      <c r="P120" t="s">
        <v>9</v>
      </c>
      <c r="Q120" t="s">
        <v>77</v>
      </c>
      <c r="R120" t="str">
        <f t="shared" si="2"/>
        <v>131500007022DIPIKA</v>
      </c>
      <c r="S120" t="e">
        <f>VLOOKUP(R120,[2]Sheet1!$R$2:$AX$20,33,0)</f>
        <v>#N/A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s="2">
        <v>0</v>
      </c>
      <c r="Z120" t="s">
        <v>9</v>
      </c>
      <c r="AA120" t="s">
        <v>9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t="s">
        <v>9</v>
      </c>
      <c r="AQ120" t="s">
        <v>9</v>
      </c>
      <c r="AR120" t="s">
        <v>9</v>
      </c>
      <c r="CZ120" t="s">
        <v>680</v>
      </c>
    </row>
    <row r="121" spans="1:104" x14ac:dyDescent="0.25">
      <c r="A121" t="s">
        <v>74</v>
      </c>
      <c r="B121" t="s">
        <v>586</v>
      </c>
      <c r="C121" t="s">
        <v>32</v>
      </c>
      <c r="D121" t="s">
        <v>3</v>
      </c>
      <c r="E121" t="s">
        <v>4</v>
      </c>
      <c r="F121" t="s">
        <v>5</v>
      </c>
      <c r="G121" t="s">
        <v>6</v>
      </c>
      <c r="H121" s="2">
        <v>6000</v>
      </c>
      <c r="I121" s="2">
        <v>6000</v>
      </c>
      <c r="J121" s="2">
        <v>0</v>
      </c>
      <c r="K121" s="2">
        <v>6000</v>
      </c>
      <c r="L121" t="s">
        <v>7</v>
      </c>
      <c r="M121" t="s">
        <v>8</v>
      </c>
      <c r="N121" t="s">
        <v>9</v>
      </c>
      <c r="O121" t="s">
        <v>9</v>
      </c>
      <c r="P121" t="s">
        <v>9</v>
      </c>
      <c r="Q121" t="s">
        <v>77</v>
      </c>
      <c r="R121" t="str">
        <f t="shared" si="2"/>
        <v>131500007022DIPIKA</v>
      </c>
      <c r="S121" t="e">
        <f>VLOOKUP(R121,[2]Sheet1!$R$2:$AX$20,33,0)</f>
        <v>#N/A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s="2">
        <v>0</v>
      </c>
      <c r="Z121" t="s">
        <v>9</v>
      </c>
      <c r="AA121" t="s">
        <v>9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t="s">
        <v>9</v>
      </c>
      <c r="AQ121" t="s">
        <v>9</v>
      </c>
      <c r="AR121" t="s">
        <v>9</v>
      </c>
      <c r="CZ121" t="s">
        <v>680</v>
      </c>
    </row>
    <row r="122" spans="1:104" x14ac:dyDescent="0.25">
      <c r="A122" t="s">
        <v>74</v>
      </c>
      <c r="B122" t="s">
        <v>587</v>
      </c>
      <c r="C122" t="s">
        <v>32</v>
      </c>
      <c r="D122" t="s">
        <v>3</v>
      </c>
      <c r="E122" t="s">
        <v>4</v>
      </c>
      <c r="F122" t="s">
        <v>5</v>
      </c>
      <c r="G122" t="s">
        <v>6</v>
      </c>
      <c r="H122" s="2">
        <v>30000</v>
      </c>
      <c r="I122" s="2">
        <v>30000</v>
      </c>
      <c r="J122" s="2">
        <v>0</v>
      </c>
      <c r="K122" s="2">
        <v>30000</v>
      </c>
      <c r="L122" t="s">
        <v>7</v>
      </c>
      <c r="M122" t="s">
        <v>8</v>
      </c>
      <c r="N122" t="s">
        <v>9</v>
      </c>
      <c r="O122" t="s">
        <v>9</v>
      </c>
      <c r="P122" t="s">
        <v>9</v>
      </c>
      <c r="Q122" t="s">
        <v>77</v>
      </c>
      <c r="R122" t="str">
        <f t="shared" si="2"/>
        <v>131500007018DIPIKA</v>
      </c>
      <c r="S122" t="e">
        <f>VLOOKUP(R122,[2]Sheet1!$R$2:$AX$20,33,0)</f>
        <v>#N/A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s="2">
        <v>0</v>
      </c>
      <c r="Z122" t="s">
        <v>9</v>
      </c>
      <c r="AA122" t="s">
        <v>9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t="s">
        <v>9</v>
      </c>
      <c r="AQ122" t="s">
        <v>9</v>
      </c>
      <c r="AR122" t="s">
        <v>9</v>
      </c>
      <c r="CZ122" t="s">
        <v>679</v>
      </c>
    </row>
    <row r="123" spans="1:104" x14ac:dyDescent="0.25">
      <c r="A123" t="s">
        <v>74</v>
      </c>
      <c r="B123" t="s">
        <v>588</v>
      </c>
      <c r="C123" t="s">
        <v>32</v>
      </c>
      <c r="D123" t="s">
        <v>3</v>
      </c>
      <c r="E123" t="s">
        <v>4</v>
      </c>
      <c r="F123" t="s">
        <v>5</v>
      </c>
      <c r="G123" t="s">
        <v>6</v>
      </c>
      <c r="H123" s="2">
        <v>40000</v>
      </c>
      <c r="I123" s="2">
        <v>40000</v>
      </c>
      <c r="J123" s="2">
        <v>0</v>
      </c>
      <c r="K123" s="2">
        <v>40000</v>
      </c>
      <c r="L123" t="s">
        <v>7</v>
      </c>
      <c r="M123" t="s">
        <v>8</v>
      </c>
      <c r="N123" t="s">
        <v>9</v>
      </c>
      <c r="O123" t="s">
        <v>9</v>
      </c>
      <c r="P123" t="s">
        <v>9</v>
      </c>
      <c r="Q123" t="s">
        <v>77</v>
      </c>
      <c r="R123" t="str">
        <f t="shared" si="2"/>
        <v>131500007018DIPIKA</v>
      </c>
      <c r="S123" t="e">
        <f>VLOOKUP(R123,[2]Sheet1!$R$2:$AX$20,33,0)</f>
        <v>#N/A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s="2">
        <v>0</v>
      </c>
      <c r="Z123" t="s">
        <v>9</v>
      </c>
      <c r="AA123" t="s">
        <v>9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t="s">
        <v>9</v>
      </c>
      <c r="AQ123" t="s">
        <v>9</v>
      </c>
      <c r="AR123" t="s">
        <v>9</v>
      </c>
      <c r="CZ123" t="s">
        <v>679</v>
      </c>
    </row>
    <row r="124" spans="1:104" x14ac:dyDescent="0.25">
      <c r="A124" t="s">
        <v>74</v>
      </c>
      <c r="B124" t="s">
        <v>589</v>
      </c>
      <c r="C124" t="s">
        <v>32</v>
      </c>
      <c r="D124" t="s">
        <v>3</v>
      </c>
      <c r="E124" t="s">
        <v>4</v>
      </c>
      <c r="F124" t="s">
        <v>5</v>
      </c>
      <c r="G124" t="s">
        <v>6</v>
      </c>
      <c r="H124" s="2">
        <v>50000</v>
      </c>
      <c r="I124" s="2">
        <v>50000</v>
      </c>
      <c r="J124" s="2">
        <v>0</v>
      </c>
      <c r="K124" s="2">
        <v>50000</v>
      </c>
      <c r="L124" t="s">
        <v>7</v>
      </c>
      <c r="M124" t="s">
        <v>8</v>
      </c>
      <c r="N124" t="s">
        <v>9</v>
      </c>
      <c r="O124" t="s">
        <v>9</v>
      </c>
      <c r="P124" t="s">
        <v>9</v>
      </c>
      <c r="Q124" t="s">
        <v>77</v>
      </c>
      <c r="R124" t="str">
        <f t="shared" si="2"/>
        <v>131500007018DIPIKA</v>
      </c>
      <c r="S124" t="e">
        <f>VLOOKUP(R124,[2]Sheet1!$R$2:$AX$20,33,0)</f>
        <v>#N/A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s="2">
        <v>0</v>
      </c>
      <c r="Z124" t="s">
        <v>9</v>
      </c>
      <c r="AA124" t="s">
        <v>9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t="s">
        <v>9</v>
      </c>
      <c r="AQ124" t="s">
        <v>9</v>
      </c>
      <c r="AR124" t="s">
        <v>9</v>
      </c>
      <c r="CZ124" t="s">
        <v>679</v>
      </c>
    </row>
    <row r="125" spans="1:104" x14ac:dyDescent="0.25">
      <c r="A125" t="s">
        <v>74</v>
      </c>
      <c r="B125" t="s">
        <v>590</v>
      </c>
      <c r="C125" t="s">
        <v>32</v>
      </c>
      <c r="D125" t="s">
        <v>3</v>
      </c>
      <c r="E125" t="s">
        <v>4</v>
      </c>
      <c r="F125" t="s">
        <v>5</v>
      </c>
      <c r="G125" t="s">
        <v>6</v>
      </c>
      <c r="H125" s="2">
        <v>60000</v>
      </c>
      <c r="I125" s="2">
        <v>60000</v>
      </c>
      <c r="J125" s="2">
        <v>0</v>
      </c>
      <c r="K125" s="2">
        <v>60000</v>
      </c>
      <c r="L125" t="s">
        <v>7</v>
      </c>
      <c r="M125" t="s">
        <v>8</v>
      </c>
      <c r="N125" t="s">
        <v>9</v>
      </c>
      <c r="O125" t="s">
        <v>9</v>
      </c>
      <c r="P125" t="s">
        <v>9</v>
      </c>
      <c r="Q125" t="s">
        <v>77</v>
      </c>
      <c r="R125" t="str">
        <f t="shared" si="2"/>
        <v>131500007018DIPIKA</v>
      </c>
      <c r="S125" t="e">
        <f>VLOOKUP(R125,[2]Sheet1!$R$2:$AX$20,33,0)</f>
        <v>#N/A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s="2">
        <v>0</v>
      </c>
      <c r="Z125" t="s">
        <v>9</v>
      </c>
      <c r="AA125" t="s">
        <v>9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t="s">
        <v>9</v>
      </c>
      <c r="AQ125" t="s">
        <v>9</v>
      </c>
      <c r="AR125" t="s">
        <v>9</v>
      </c>
      <c r="CZ125" t="s">
        <v>679</v>
      </c>
    </row>
    <row r="126" spans="1:104" x14ac:dyDescent="0.25">
      <c r="A126" t="s">
        <v>74</v>
      </c>
      <c r="B126" t="s">
        <v>591</v>
      </c>
      <c r="C126" t="s">
        <v>32</v>
      </c>
      <c r="D126" t="s">
        <v>3</v>
      </c>
      <c r="E126" t="s">
        <v>4</v>
      </c>
      <c r="F126" t="s">
        <v>5</v>
      </c>
      <c r="G126" t="s">
        <v>6</v>
      </c>
      <c r="H126" s="2">
        <v>1000</v>
      </c>
      <c r="I126" s="2">
        <v>1000</v>
      </c>
      <c r="J126" s="2">
        <v>0</v>
      </c>
      <c r="K126" s="2">
        <v>1000</v>
      </c>
      <c r="L126" t="s">
        <v>7</v>
      </c>
      <c r="M126" t="s">
        <v>8</v>
      </c>
      <c r="N126" t="s">
        <v>9</v>
      </c>
      <c r="O126" t="s">
        <v>9</v>
      </c>
      <c r="P126" t="s">
        <v>9</v>
      </c>
      <c r="Q126" t="s">
        <v>77</v>
      </c>
      <c r="R126" t="str">
        <f t="shared" si="2"/>
        <v>131500007026DIPIKA</v>
      </c>
      <c r="S126" t="e">
        <f>VLOOKUP(R126,[2]Sheet1!$R$2:$AX$20,33,0)</f>
        <v>#N/A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s="2">
        <v>0</v>
      </c>
      <c r="Z126" t="s">
        <v>9</v>
      </c>
      <c r="AA126" t="s">
        <v>9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t="s">
        <v>9</v>
      </c>
      <c r="AQ126" t="s">
        <v>9</v>
      </c>
      <c r="AR126" t="s">
        <v>9</v>
      </c>
      <c r="CZ126" t="s">
        <v>684</v>
      </c>
    </row>
    <row r="127" spans="1:104" x14ac:dyDescent="0.25">
      <c r="A127" t="s">
        <v>74</v>
      </c>
      <c r="B127" t="s">
        <v>592</v>
      </c>
      <c r="C127" t="s">
        <v>32</v>
      </c>
      <c r="D127" t="s">
        <v>3</v>
      </c>
      <c r="E127" t="s">
        <v>4</v>
      </c>
      <c r="F127" t="s">
        <v>5</v>
      </c>
      <c r="G127" t="s">
        <v>6</v>
      </c>
      <c r="H127" s="2">
        <v>2000</v>
      </c>
      <c r="I127" s="2">
        <v>2000</v>
      </c>
      <c r="J127" s="2">
        <v>0</v>
      </c>
      <c r="K127" s="2">
        <v>2000</v>
      </c>
      <c r="L127" t="s">
        <v>7</v>
      </c>
      <c r="M127" t="s">
        <v>8</v>
      </c>
      <c r="N127" t="s">
        <v>9</v>
      </c>
      <c r="O127" t="s">
        <v>9</v>
      </c>
      <c r="P127" t="s">
        <v>9</v>
      </c>
      <c r="Q127" t="s">
        <v>77</v>
      </c>
      <c r="R127" t="str">
        <f t="shared" si="2"/>
        <v>131500007026DIPIKA</v>
      </c>
      <c r="S127" t="e">
        <f>VLOOKUP(R127,[2]Sheet1!$R$2:$AX$20,33,0)</f>
        <v>#N/A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s="2">
        <v>0</v>
      </c>
      <c r="Z127" t="s">
        <v>9</v>
      </c>
      <c r="AA127" t="s">
        <v>9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t="s">
        <v>9</v>
      </c>
      <c r="AQ127" t="s">
        <v>9</v>
      </c>
      <c r="AR127" t="s">
        <v>9</v>
      </c>
      <c r="CZ127" t="s">
        <v>684</v>
      </c>
    </row>
    <row r="128" spans="1:104" x14ac:dyDescent="0.25">
      <c r="A128" t="s">
        <v>74</v>
      </c>
      <c r="B128" t="s">
        <v>593</v>
      </c>
      <c r="C128" t="s">
        <v>32</v>
      </c>
      <c r="D128" t="s">
        <v>3</v>
      </c>
      <c r="E128" t="s">
        <v>4</v>
      </c>
      <c r="F128" t="s">
        <v>5</v>
      </c>
      <c r="G128" t="s">
        <v>6</v>
      </c>
      <c r="H128" s="2">
        <v>3000</v>
      </c>
      <c r="I128" s="2">
        <v>3000</v>
      </c>
      <c r="J128" s="2">
        <v>0</v>
      </c>
      <c r="K128" s="2">
        <v>3000</v>
      </c>
      <c r="L128" t="s">
        <v>7</v>
      </c>
      <c r="M128" t="s">
        <v>8</v>
      </c>
      <c r="N128" t="s">
        <v>9</v>
      </c>
      <c r="O128" t="s">
        <v>9</v>
      </c>
      <c r="P128" t="s">
        <v>9</v>
      </c>
      <c r="Q128" t="s">
        <v>77</v>
      </c>
      <c r="R128" t="str">
        <f t="shared" si="2"/>
        <v>131500007026DIPIKA</v>
      </c>
      <c r="S128" t="e">
        <f>VLOOKUP(R128,[2]Sheet1!$R$2:$AX$20,33,0)</f>
        <v>#N/A</v>
      </c>
      <c r="T128" t="s">
        <v>9</v>
      </c>
      <c r="U128" t="s">
        <v>9</v>
      </c>
      <c r="V128" t="s">
        <v>9</v>
      </c>
      <c r="W128" t="s">
        <v>9</v>
      </c>
      <c r="X128" t="s">
        <v>9</v>
      </c>
      <c r="Y128" s="2">
        <v>0</v>
      </c>
      <c r="Z128" t="s">
        <v>9</v>
      </c>
      <c r="AA128" t="s">
        <v>9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t="s">
        <v>9</v>
      </c>
      <c r="AQ128" t="s">
        <v>9</v>
      </c>
      <c r="AR128" t="s">
        <v>9</v>
      </c>
      <c r="CZ128" t="s">
        <v>684</v>
      </c>
    </row>
    <row r="129" spans="1:104" x14ac:dyDescent="0.25">
      <c r="A129" t="s">
        <v>74</v>
      </c>
      <c r="B129" t="s">
        <v>594</v>
      </c>
      <c r="C129" t="s">
        <v>32</v>
      </c>
      <c r="D129" t="s">
        <v>3</v>
      </c>
      <c r="E129" t="s">
        <v>4</v>
      </c>
      <c r="F129" t="s">
        <v>5</v>
      </c>
      <c r="G129" t="s">
        <v>6</v>
      </c>
      <c r="H129" s="2">
        <v>4000</v>
      </c>
      <c r="I129" s="2">
        <v>4000</v>
      </c>
      <c r="J129" s="2">
        <v>0</v>
      </c>
      <c r="K129" s="2">
        <v>4000</v>
      </c>
      <c r="L129" t="s">
        <v>7</v>
      </c>
      <c r="M129" t="s">
        <v>8</v>
      </c>
      <c r="N129" t="s">
        <v>9</v>
      </c>
      <c r="O129" t="s">
        <v>9</v>
      </c>
      <c r="P129" t="s">
        <v>9</v>
      </c>
      <c r="Q129" t="s">
        <v>77</v>
      </c>
      <c r="R129" t="str">
        <f t="shared" si="2"/>
        <v>131500007026DIPIKA</v>
      </c>
      <c r="S129" t="e">
        <f>VLOOKUP(R129,[2]Sheet1!$R$2:$AX$20,33,0)</f>
        <v>#N/A</v>
      </c>
      <c r="T129" t="s">
        <v>9</v>
      </c>
      <c r="U129" t="s">
        <v>9</v>
      </c>
      <c r="V129" t="s">
        <v>9</v>
      </c>
      <c r="W129" t="s">
        <v>9</v>
      </c>
      <c r="X129" t="s">
        <v>9</v>
      </c>
      <c r="Y129" s="2">
        <v>0</v>
      </c>
      <c r="Z129" t="s">
        <v>9</v>
      </c>
      <c r="AA129" t="s">
        <v>9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t="s">
        <v>9</v>
      </c>
      <c r="AQ129" t="s">
        <v>9</v>
      </c>
      <c r="AR129" t="s">
        <v>9</v>
      </c>
      <c r="CZ129" t="s">
        <v>684</v>
      </c>
    </row>
    <row r="130" spans="1:104" x14ac:dyDescent="0.25">
      <c r="A130" t="s">
        <v>74</v>
      </c>
      <c r="B130" t="s">
        <v>595</v>
      </c>
      <c r="C130" t="s">
        <v>32</v>
      </c>
      <c r="D130" t="s">
        <v>3</v>
      </c>
      <c r="E130" t="s">
        <v>4</v>
      </c>
      <c r="F130" t="s">
        <v>5</v>
      </c>
      <c r="G130" t="s">
        <v>6</v>
      </c>
      <c r="H130" s="2">
        <v>5000</v>
      </c>
      <c r="I130" s="2">
        <v>5000</v>
      </c>
      <c r="J130" s="2">
        <v>0</v>
      </c>
      <c r="K130" s="2">
        <v>5000</v>
      </c>
      <c r="L130" t="s">
        <v>7</v>
      </c>
      <c r="M130" t="s">
        <v>8</v>
      </c>
      <c r="N130" t="s">
        <v>9</v>
      </c>
      <c r="O130" t="s">
        <v>9</v>
      </c>
      <c r="P130" t="s">
        <v>9</v>
      </c>
      <c r="Q130" t="s">
        <v>77</v>
      </c>
      <c r="R130" t="str">
        <f t="shared" si="2"/>
        <v>131500007026DIPIKA</v>
      </c>
      <c r="S130" t="e">
        <f>VLOOKUP(R130,[2]Sheet1!$R$2:$AX$20,33,0)</f>
        <v>#N/A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s="2">
        <v>0</v>
      </c>
      <c r="Z130" t="s">
        <v>9</v>
      </c>
      <c r="AA130" t="s">
        <v>9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t="s">
        <v>9</v>
      </c>
      <c r="AQ130" t="s">
        <v>9</v>
      </c>
      <c r="AR130" t="s">
        <v>9</v>
      </c>
      <c r="CZ130" t="s">
        <v>684</v>
      </c>
    </row>
    <row r="131" spans="1:104" x14ac:dyDescent="0.25">
      <c r="A131" t="s">
        <v>74</v>
      </c>
      <c r="B131" t="s">
        <v>596</v>
      </c>
      <c r="C131" t="s">
        <v>32</v>
      </c>
      <c r="D131" t="s">
        <v>3</v>
      </c>
      <c r="E131" t="s">
        <v>4</v>
      </c>
      <c r="F131" t="s">
        <v>5</v>
      </c>
      <c r="G131" t="s">
        <v>6</v>
      </c>
      <c r="H131" s="2">
        <v>6000</v>
      </c>
      <c r="I131" s="2">
        <v>6000</v>
      </c>
      <c r="J131" s="2">
        <v>0</v>
      </c>
      <c r="K131" s="2">
        <v>6000</v>
      </c>
      <c r="L131" t="s">
        <v>7</v>
      </c>
      <c r="M131" t="s">
        <v>8</v>
      </c>
      <c r="N131" t="s">
        <v>9</v>
      </c>
      <c r="O131" t="s">
        <v>9</v>
      </c>
      <c r="P131" t="s">
        <v>9</v>
      </c>
      <c r="Q131" t="s">
        <v>77</v>
      </c>
      <c r="R131" t="str">
        <f t="shared" si="2"/>
        <v>131500007026DIPIKA</v>
      </c>
      <c r="S131" t="e">
        <f>VLOOKUP(R131,[2]Sheet1!$R$2:$AX$20,33,0)</f>
        <v>#N/A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s="2">
        <v>0</v>
      </c>
      <c r="Z131" t="s">
        <v>9</v>
      </c>
      <c r="AA131" t="s">
        <v>9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t="s">
        <v>9</v>
      </c>
      <c r="AQ131" t="s">
        <v>9</v>
      </c>
      <c r="AR131" t="s">
        <v>9</v>
      </c>
      <c r="CZ131" t="s">
        <v>684</v>
      </c>
    </row>
    <row r="132" spans="1:104" x14ac:dyDescent="0.25">
      <c r="A132" t="s">
        <v>74</v>
      </c>
      <c r="B132" t="s">
        <v>597</v>
      </c>
      <c r="C132" t="s">
        <v>32</v>
      </c>
      <c r="D132" t="s">
        <v>3</v>
      </c>
      <c r="E132" t="s">
        <v>4</v>
      </c>
      <c r="F132" t="s">
        <v>5</v>
      </c>
      <c r="G132" t="s">
        <v>6</v>
      </c>
      <c r="H132" s="2">
        <v>1000</v>
      </c>
      <c r="I132" s="2">
        <v>1000</v>
      </c>
      <c r="J132" s="2">
        <v>0</v>
      </c>
      <c r="K132" s="2">
        <v>1000</v>
      </c>
      <c r="L132" t="s">
        <v>7</v>
      </c>
      <c r="M132" t="s">
        <v>8</v>
      </c>
      <c r="N132" t="s">
        <v>9</v>
      </c>
      <c r="O132" t="s">
        <v>9</v>
      </c>
      <c r="P132" t="s">
        <v>9</v>
      </c>
      <c r="Q132" t="s">
        <v>77</v>
      </c>
      <c r="R132" t="str">
        <f t="shared" si="2"/>
        <v>131500007020DIPIKA</v>
      </c>
      <c r="S132" t="e">
        <f>VLOOKUP(R132,[2]Sheet1!$R$2:$AX$20,33,0)</f>
        <v>#N/A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s="2">
        <v>0</v>
      </c>
      <c r="Z132" t="s">
        <v>9</v>
      </c>
      <c r="AA132" t="s">
        <v>9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t="s">
        <v>9</v>
      </c>
      <c r="AQ132" t="s">
        <v>9</v>
      </c>
      <c r="AR132" t="s">
        <v>9</v>
      </c>
      <c r="CZ132" t="s">
        <v>681</v>
      </c>
    </row>
    <row r="133" spans="1:104" x14ac:dyDescent="0.25">
      <c r="A133" t="s">
        <v>74</v>
      </c>
      <c r="B133" t="s">
        <v>598</v>
      </c>
      <c r="C133" t="s">
        <v>32</v>
      </c>
      <c r="D133" t="s">
        <v>3</v>
      </c>
      <c r="E133" t="s">
        <v>4</v>
      </c>
      <c r="F133" t="s">
        <v>5</v>
      </c>
      <c r="G133" t="s">
        <v>6</v>
      </c>
      <c r="H133" s="2">
        <v>2000</v>
      </c>
      <c r="I133" s="2">
        <v>2000</v>
      </c>
      <c r="J133" s="2">
        <v>0</v>
      </c>
      <c r="K133" s="2">
        <v>2000</v>
      </c>
      <c r="L133" t="s">
        <v>7</v>
      </c>
      <c r="M133" t="s">
        <v>8</v>
      </c>
      <c r="N133" t="s">
        <v>9</v>
      </c>
      <c r="O133" t="s">
        <v>9</v>
      </c>
      <c r="P133" t="s">
        <v>9</v>
      </c>
      <c r="Q133" t="s">
        <v>77</v>
      </c>
      <c r="R133" t="str">
        <f t="shared" si="2"/>
        <v>131500007020DIPIKA</v>
      </c>
      <c r="S133" t="e">
        <f>VLOOKUP(R133,[2]Sheet1!$R$2:$AX$20,33,0)</f>
        <v>#N/A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s="2">
        <v>0</v>
      </c>
      <c r="Z133" t="s">
        <v>9</v>
      </c>
      <c r="AA133" t="s">
        <v>9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t="s">
        <v>9</v>
      </c>
      <c r="AQ133" t="s">
        <v>9</v>
      </c>
      <c r="AR133" t="s">
        <v>9</v>
      </c>
      <c r="CZ133" t="s">
        <v>681</v>
      </c>
    </row>
    <row r="134" spans="1:104" x14ac:dyDescent="0.25">
      <c r="A134" t="s">
        <v>74</v>
      </c>
      <c r="B134" t="s">
        <v>599</v>
      </c>
      <c r="C134" t="s">
        <v>32</v>
      </c>
      <c r="D134" t="s">
        <v>3</v>
      </c>
      <c r="E134" t="s">
        <v>4</v>
      </c>
      <c r="F134" t="s">
        <v>5</v>
      </c>
      <c r="G134" t="s">
        <v>6</v>
      </c>
      <c r="H134" s="2">
        <v>3000</v>
      </c>
      <c r="I134" s="2">
        <v>3000</v>
      </c>
      <c r="J134" s="2">
        <v>0</v>
      </c>
      <c r="K134" s="2">
        <v>3000</v>
      </c>
      <c r="L134" t="s">
        <v>7</v>
      </c>
      <c r="M134" t="s">
        <v>8</v>
      </c>
      <c r="N134" t="s">
        <v>9</v>
      </c>
      <c r="O134" t="s">
        <v>9</v>
      </c>
      <c r="P134" t="s">
        <v>9</v>
      </c>
      <c r="Q134" t="s">
        <v>77</v>
      </c>
      <c r="R134" t="str">
        <f t="shared" si="2"/>
        <v>131500007020DIPIKA</v>
      </c>
      <c r="S134" t="e">
        <f>VLOOKUP(R134,[2]Sheet1!$R$2:$AX$20,33,0)</f>
        <v>#N/A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s="2">
        <v>0</v>
      </c>
      <c r="Z134" t="s">
        <v>9</v>
      </c>
      <c r="AA134" t="s">
        <v>9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t="s">
        <v>9</v>
      </c>
      <c r="AQ134" t="s">
        <v>9</v>
      </c>
      <c r="AR134" t="s">
        <v>9</v>
      </c>
      <c r="CZ134" t="s">
        <v>681</v>
      </c>
    </row>
    <row r="135" spans="1:104" x14ac:dyDescent="0.25">
      <c r="A135" t="s">
        <v>74</v>
      </c>
      <c r="B135" t="s">
        <v>600</v>
      </c>
      <c r="C135" t="s">
        <v>32</v>
      </c>
      <c r="D135" t="s">
        <v>3</v>
      </c>
      <c r="E135" t="s">
        <v>4</v>
      </c>
      <c r="F135" t="s">
        <v>5</v>
      </c>
      <c r="G135" t="s">
        <v>6</v>
      </c>
      <c r="H135" s="2">
        <v>4000</v>
      </c>
      <c r="I135" s="2">
        <v>4000</v>
      </c>
      <c r="J135" s="2">
        <v>0</v>
      </c>
      <c r="K135" s="2">
        <v>4000</v>
      </c>
      <c r="L135" t="s">
        <v>7</v>
      </c>
      <c r="M135" t="s">
        <v>8</v>
      </c>
      <c r="N135" t="s">
        <v>9</v>
      </c>
      <c r="O135" t="s">
        <v>9</v>
      </c>
      <c r="P135" t="s">
        <v>9</v>
      </c>
      <c r="Q135" t="s">
        <v>77</v>
      </c>
      <c r="R135" t="str">
        <f t="shared" si="2"/>
        <v>131500007020DIPIKA</v>
      </c>
      <c r="S135" t="e">
        <f>VLOOKUP(R135,[2]Sheet1!$R$2:$AX$20,33,0)</f>
        <v>#N/A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s="2">
        <v>0</v>
      </c>
      <c r="Z135" t="s">
        <v>9</v>
      </c>
      <c r="AA135" t="s">
        <v>9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t="s">
        <v>9</v>
      </c>
      <c r="AQ135" t="s">
        <v>9</v>
      </c>
      <c r="AR135" t="s">
        <v>9</v>
      </c>
      <c r="CZ135" t="s">
        <v>681</v>
      </c>
    </row>
    <row r="136" spans="1:104" x14ac:dyDescent="0.25">
      <c r="A136" t="s">
        <v>74</v>
      </c>
      <c r="B136" t="s">
        <v>601</v>
      </c>
      <c r="C136" t="s">
        <v>32</v>
      </c>
      <c r="D136" t="s">
        <v>3</v>
      </c>
      <c r="E136" t="s">
        <v>4</v>
      </c>
      <c r="F136" t="s">
        <v>5</v>
      </c>
      <c r="G136" t="s">
        <v>6</v>
      </c>
      <c r="H136" s="2">
        <v>5000</v>
      </c>
      <c r="I136" s="2">
        <v>5000</v>
      </c>
      <c r="J136" s="2">
        <v>0</v>
      </c>
      <c r="K136" s="2">
        <v>5000</v>
      </c>
      <c r="L136" t="s">
        <v>7</v>
      </c>
      <c r="M136" t="s">
        <v>8</v>
      </c>
      <c r="N136" t="s">
        <v>9</v>
      </c>
      <c r="O136" t="s">
        <v>9</v>
      </c>
      <c r="P136" t="s">
        <v>9</v>
      </c>
      <c r="Q136" t="s">
        <v>77</v>
      </c>
      <c r="R136" t="str">
        <f t="shared" si="2"/>
        <v>131500007020DIPIKA</v>
      </c>
      <c r="S136" t="e">
        <f>VLOOKUP(R136,[2]Sheet1!$R$2:$AX$20,33,0)</f>
        <v>#N/A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s="2">
        <v>0</v>
      </c>
      <c r="Z136" t="s">
        <v>9</v>
      </c>
      <c r="AA136" t="s">
        <v>9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t="s">
        <v>9</v>
      </c>
      <c r="AQ136" t="s">
        <v>9</v>
      </c>
      <c r="AR136" t="s">
        <v>9</v>
      </c>
      <c r="CZ136" t="s">
        <v>681</v>
      </c>
    </row>
    <row r="137" spans="1:104" x14ac:dyDescent="0.25">
      <c r="A137" t="s">
        <v>74</v>
      </c>
      <c r="B137" t="s">
        <v>602</v>
      </c>
      <c r="C137" t="s">
        <v>32</v>
      </c>
      <c r="D137" t="s">
        <v>3</v>
      </c>
      <c r="E137" t="s">
        <v>4</v>
      </c>
      <c r="F137" t="s">
        <v>5</v>
      </c>
      <c r="G137" t="s">
        <v>6</v>
      </c>
      <c r="H137" s="2">
        <v>6000</v>
      </c>
      <c r="I137" s="2">
        <v>6000</v>
      </c>
      <c r="J137" s="2">
        <v>0</v>
      </c>
      <c r="K137" s="2">
        <v>6000</v>
      </c>
      <c r="L137" t="s">
        <v>7</v>
      </c>
      <c r="M137" t="s">
        <v>8</v>
      </c>
      <c r="N137" t="s">
        <v>9</v>
      </c>
      <c r="O137" t="s">
        <v>9</v>
      </c>
      <c r="P137" t="s">
        <v>9</v>
      </c>
      <c r="Q137" t="s">
        <v>77</v>
      </c>
      <c r="R137" t="str">
        <f t="shared" si="2"/>
        <v>131500007020DIPIKA</v>
      </c>
      <c r="S137" t="e">
        <f>VLOOKUP(R137,[2]Sheet1!$R$2:$AX$20,33,0)</f>
        <v>#N/A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s="2">
        <v>0</v>
      </c>
      <c r="Z137" t="s">
        <v>9</v>
      </c>
      <c r="AA137" t="s">
        <v>9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t="s">
        <v>9</v>
      </c>
      <c r="AQ137" t="s">
        <v>9</v>
      </c>
      <c r="AR137" t="s">
        <v>9</v>
      </c>
      <c r="CZ137" t="s">
        <v>681</v>
      </c>
    </row>
    <row r="138" spans="1:104" x14ac:dyDescent="0.25">
      <c r="A138" t="s">
        <v>74</v>
      </c>
      <c r="B138" t="s">
        <v>603</v>
      </c>
      <c r="C138" t="s">
        <v>32</v>
      </c>
      <c r="D138" t="s">
        <v>3</v>
      </c>
      <c r="E138" t="s">
        <v>4</v>
      </c>
      <c r="F138" t="s">
        <v>5</v>
      </c>
      <c r="G138" t="s">
        <v>6</v>
      </c>
      <c r="H138" s="2">
        <v>7000</v>
      </c>
      <c r="I138" s="2">
        <v>7000</v>
      </c>
      <c r="J138" s="2">
        <v>0</v>
      </c>
      <c r="K138" s="2">
        <v>7000</v>
      </c>
      <c r="L138" t="s">
        <v>7</v>
      </c>
      <c r="M138" t="s">
        <v>8</v>
      </c>
      <c r="N138" t="s">
        <v>9</v>
      </c>
      <c r="O138" t="s">
        <v>9</v>
      </c>
      <c r="P138" t="s">
        <v>9</v>
      </c>
      <c r="Q138" t="s">
        <v>77</v>
      </c>
      <c r="R138" t="str">
        <f t="shared" si="2"/>
        <v>131500007020DIPIKA</v>
      </c>
      <c r="S138" t="e">
        <f>VLOOKUP(R138,[2]Sheet1!$R$2:$AX$20,33,0)</f>
        <v>#N/A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s="2">
        <v>0</v>
      </c>
      <c r="Z138" t="s">
        <v>9</v>
      </c>
      <c r="AA138" t="s">
        <v>9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t="s">
        <v>9</v>
      </c>
      <c r="AQ138" t="s">
        <v>9</v>
      </c>
      <c r="AR138" t="s">
        <v>9</v>
      </c>
      <c r="CZ138" t="s">
        <v>681</v>
      </c>
    </row>
    <row r="139" spans="1:104" x14ac:dyDescent="0.25">
      <c r="A139" t="s">
        <v>74</v>
      </c>
      <c r="B139" t="s">
        <v>604</v>
      </c>
      <c r="C139" t="s">
        <v>32</v>
      </c>
      <c r="D139" t="s">
        <v>3</v>
      </c>
      <c r="E139" t="s">
        <v>4</v>
      </c>
      <c r="F139" t="s">
        <v>5</v>
      </c>
      <c r="G139" t="s">
        <v>6</v>
      </c>
      <c r="H139" s="2">
        <v>7000</v>
      </c>
      <c r="I139" s="2">
        <v>7000</v>
      </c>
      <c r="J139" s="2">
        <v>0</v>
      </c>
      <c r="K139" s="2">
        <v>7000</v>
      </c>
      <c r="L139" t="s">
        <v>7</v>
      </c>
      <c r="M139" t="s">
        <v>8</v>
      </c>
      <c r="N139" t="s">
        <v>9</v>
      </c>
      <c r="O139" t="s">
        <v>9</v>
      </c>
      <c r="P139" t="s">
        <v>9</v>
      </c>
      <c r="Q139" t="s">
        <v>77</v>
      </c>
      <c r="R139" t="str">
        <f t="shared" si="2"/>
        <v>131500007026DIPIKA</v>
      </c>
      <c r="S139" t="e">
        <f>VLOOKUP(R139,[2]Sheet1!$R$2:$AX$20,33,0)</f>
        <v>#N/A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s="2">
        <v>0</v>
      </c>
      <c r="Z139" t="s">
        <v>9</v>
      </c>
      <c r="AA139" t="s">
        <v>9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t="s">
        <v>9</v>
      </c>
      <c r="AQ139" t="s">
        <v>9</v>
      </c>
      <c r="AR139" t="s">
        <v>9</v>
      </c>
      <c r="CZ139" t="s">
        <v>684</v>
      </c>
    </row>
    <row r="140" spans="1:104" x14ac:dyDescent="0.25">
      <c r="A140" t="s">
        <v>74</v>
      </c>
      <c r="B140" t="s">
        <v>605</v>
      </c>
      <c r="C140" t="s">
        <v>32</v>
      </c>
      <c r="D140" t="s">
        <v>3</v>
      </c>
      <c r="E140" t="s">
        <v>4</v>
      </c>
      <c r="F140" t="s">
        <v>5</v>
      </c>
      <c r="G140" t="s">
        <v>6</v>
      </c>
      <c r="H140" s="2">
        <v>8000</v>
      </c>
      <c r="I140" s="2">
        <v>8000</v>
      </c>
      <c r="J140" s="2">
        <v>0</v>
      </c>
      <c r="K140" s="2">
        <v>8000</v>
      </c>
      <c r="L140" t="s">
        <v>7</v>
      </c>
      <c r="M140" t="s">
        <v>8</v>
      </c>
      <c r="N140" t="s">
        <v>9</v>
      </c>
      <c r="O140" t="s">
        <v>9</v>
      </c>
      <c r="P140" t="s">
        <v>9</v>
      </c>
      <c r="Q140" t="s">
        <v>77</v>
      </c>
      <c r="R140" t="str">
        <f t="shared" si="2"/>
        <v>131500007026DIPIKA</v>
      </c>
      <c r="S140" t="e">
        <f>VLOOKUP(R140,[2]Sheet1!$R$2:$AX$20,33,0)</f>
        <v>#N/A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s="2">
        <v>0</v>
      </c>
      <c r="Z140" t="s">
        <v>9</v>
      </c>
      <c r="AA140" t="s">
        <v>9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t="s">
        <v>9</v>
      </c>
      <c r="AQ140" t="s">
        <v>9</v>
      </c>
      <c r="AR140" t="s">
        <v>9</v>
      </c>
      <c r="CZ140" t="s">
        <v>684</v>
      </c>
    </row>
    <row r="141" spans="1:104" x14ac:dyDescent="0.25">
      <c r="A141" t="s">
        <v>74</v>
      </c>
      <c r="B141" t="s">
        <v>606</v>
      </c>
      <c r="C141" t="s">
        <v>32</v>
      </c>
      <c r="D141" t="s">
        <v>3</v>
      </c>
      <c r="E141" t="s">
        <v>4</v>
      </c>
      <c r="F141" t="s">
        <v>5</v>
      </c>
      <c r="G141" t="s">
        <v>6</v>
      </c>
      <c r="H141" s="2">
        <v>1500</v>
      </c>
      <c r="I141" s="2">
        <v>1500</v>
      </c>
      <c r="J141" s="2">
        <v>0</v>
      </c>
      <c r="K141" s="2">
        <v>1500</v>
      </c>
      <c r="L141" t="s">
        <v>7</v>
      </c>
      <c r="M141" t="s">
        <v>8</v>
      </c>
      <c r="N141" t="s">
        <v>9</v>
      </c>
      <c r="O141" t="s">
        <v>9</v>
      </c>
      <c r="P141" t="s">
        <v>9</v>
      </c>
      <c r="Q141" t="s">
        <v>77</v>
      </c>
      <c r="R141" t="str">
        <f t="shared" si="2"/>
        <v>131500007020DIPIKA</v>
      </c>
      <c r="S141" t="e">
        <f>VLOOKUP(R141,[2]Sheet1!$R$2:$AX$20,33,0)</f>
        <v>#N/A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s="2">
        <v>0</v>
      </c>
      <c r="Z141" t="s">
        <v>9</v>
      </c>
      <c r="AA141" t="s">
        <v>9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t="s">
        <v>9</v>
      </c>
      <c r="AQ141" t="s">
        <v>9</v>
      </c>
      <c r="AR141" t="s">
        <v>9</v>
      </c>
      <c r="CZ141" t="s">
        <v>681</v>
      </c>
    </row>
    <row r="142" spans="1:104" x14ac:dyDescent="0.25">
      <c r="A142" t="s">
        <v>74</v>
      </c>
      <c r="B142" t="s">
        <v>607</v>
      </c>
      <c r="C142" t="s">
        <v>32</v>
      </c>
      <c r="D142" t="s">
        <v>3</v>
      </c>
      <c r="E142" t="s">
        <v>4</v>
      </c>
      <c r="F142" t="s">
        <v>5</v>
      </c>
      <c r="G142" t="s">
        <v>6</v>
      </c>
      <c r="H142" s="2">
        <v>1800</v>
      </c>
      <c r="I142" s="2">
        <v>1800</v>
      </c>
      <c r="J142" s="2">
        <v>0</v>
      </c>
      <c r="K142" s="2">
        <v>1800</v>
      </c>
      <c r="L142" t="s">
        <v>7</v>
      </c>
      <c r="M142" t="s">
        <v>8</v>
      </c>
      <c r="N142" t="s">
        <v>9</v>
      </c>
      <c r="O142" t="s">
        <v>9</v>
      </c>
      <c r="P142" t="s">
        <v>9</v>
      </c>
      <c r="Q142" t="s">
        <v>77</v>
      </c>
      <c r="R142" t="str">
        <f t="shared" si="2"/>
        <v>131500007020DIPIKA</v>
      </c>
      <c r="S142" t="e">
        <f>VLOOKUP(R142,[2]Sheet1!$R$2:$AX$20,33,0)</f>
        <v>#N/A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s="2">
        <v>0</v>
      </c>
      <c r="Z142" t="s">
        <v>9</v>
      </c>
      <c r="AA142" t="s">
        <v>9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t="s">
        <v>9</v>
      </c>
      <c r="AQ142" t="s">
        <v>9</v>
      </c>
      <c r="AR142" t="s">
        <v>9</v>
      </c>
      <c r="CZ142" t="s">
        <v>681</v>
      </c>
    </row>
    <row r="143" spans="1:104" x14ac:dyDescent="0.25">
      <c r="A143" t="s">
        <v>74</v>
      </c>
      <c r="B143" t="s">
        <v>608</v>
      </c>
      <c r="C143" t="s">
        <v>32</v>
      </c>
      <c r="D143" t="s">
        <v>3</v>
      </c>
      <c r="E143" t="s">
        <v>4</v>
      </c>
      <c r="F143" t="s">
        <v>5</v>
      </c>
      <c r="G143" t="s">
        <v>6</v>
      </c>
      <c r="H143" s="2">
        <v>9000</v>
      </c>
      <c r="I143" s="2">
        <v>9000</v>
      </c>
      <c r="J143" s="2">
        <v>0</v>
      </c>
      <c r="K143" s="2">
        <v>9000</v>
      </c>
      <c r="L143" t="s">
        <v>7</v>
      </c>
      <c r="M143" t="s">
        <v>8</v>
      </c>
      <c r="N143" t="s">
        <v>9</v>
      </c>
      <c r="O143" t="s">
        <v>9</v>
      </c>
      <c r="P143" t="s">
        <v>9</v>
      </c>
      <c r="Q143" t="s">
        <v>77</v>
      </c>
      <c r="R143" t="str">
        <f t="shared" si="2"/>
        <v>131500007026DIPIKA</v>
      </c>
      <c r="S143" t="e">
        <f>VLOOKUP(R143,[2]Sheet1!$R$2:$AX$20,33,0)</f>
        <v>#N/A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s="2">
        <v>0</v>
      </c>
      <c r="Z143" t="s">
        <v>9</v>
      </c>
      <c r="AA143" t="s">
        <v>9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t="s">
        <v>9</v>
      </c>
      <c r="AQ143" t="s">
        <v>9</v>
      </c>
      <c r="AR143" t="s">
        <v>9</v>
      </c>
      <c r="CZ143" t="s">
        <v>684</v>
      </c>
    </row>
    <row r="144" spans="1:104" x14ac:dyDescent="0.25">
      <c r="A144" t="s">
        <v>74</v>
      </c>
      <c r="B144" t="s">
        <v>609</v>
      </c>
      <c r="C144" t="s">
        <v>32</v>
      </c>
      <c r="D144" t="s">
        <v>3</v>
      </c>
      <c r="E144" t="s">
        <v>4</v>
      </c>
      <c r="F144" t="s">
        <v>5</v>
      </c>
      <c r="G144" t="s">
        <v>6</v>
      </c>
      <c r="H144" s="2">
        <v>4500</v>
      </c>
      <c r="I144" s="2">
        <v>4500</v>
      </c>
      <c r="J144" s="2">
        <v>0</v>
      </c>
      <c r="K144" s="2">
        <v>4500</v>
      </c>
      <c r="L144" t="s">
        <v>7</v>
      </c>
      <c r="M144" t="s">
        <v>8</v>
      </c>
      <c r="N144" t="s">
        <v>9</v>
      </c>
      <c r="O144" t="s">
        <v>9</v>
      </c>
      <c r="P144" t="s">
        <v>9</v>
      </c>
      <c r="Q144" t="s">
        <v>77</v>
      </c>
      <c r="R144" t="str">
        <f t="shared" si="2"/>
        <v>131500007020DIPIKA</v>
      </c>
      <c r="S144" t="e">
        <f>VLOOKUP(R144,[2]Sheet1!$R$2:$AX$20,33,0)</f>
        <v>#N/A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s="2">
        <v>0</v>
      </c>
      <c r="Z144" t="s">
        <v>9</v>
      </c>
      <c r="AA144" t="s">
        <v>9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t="s">
        <v>9</v>
      </c>
      <c r="AQ144" t="s">
        <v>9</v>
      </c>
      <c r="AR144" t="s">
        <v>9</v>
      </c>
      <c r="CZ144" t="s">
        <v>681</v>
      </c>
    </row>
    <row r="145" spans="1:104" x14ac:dyDescent="0.25">
      <c r="A145" t="s">
        <v>74</v>
      </c>
      <c r="B145" t="s">
        <v>610</v>
      </c>
      <c r="C145" t="s">
        <v>32</v>
      </c>
      <c r="D145" t="s">
        <v>3</v>
      </c>
      <c r="E145" t="s">
        <v>4</v>
      </c>
      <c r="F145" t="s">
        <v>5</v>
      </c>
      <c r="G145" t="s">
        <v>6</v>
      </c>
      <c r="H145" s="2">
        <v>80000</v>
      </c>
      <c r="I145" s="2">
        <v>80000</v>
      </c>
      <c r="J145" s="2">
        <v>0</v>
      </c>
      <c r="K145" s="2">
        <v>80000</v>
      </c>
      <c r="L145" t="s">
        <v>7</v>
      </c>
      <c r="M145" t="s">
        <v>8</v>
      </c>
      <c r="N145" t="s">
        <v>9</v>
      </c>
      <c r="O145" t="s">
        <v>9</v>
      </c>
      <c r="P145" t="s">
        <v>9</v>
      </c>
      <c r="Q145" t="s">
        <v>77</v>
      </c>
      <c r="R145" t="str">
        <f t="shared" si="2"/>
        <v>131500007018DIPIKA</v>
      </c>
      <c r="S145" t="e">
        <f>VLOOKUP(R145,[2]Sheet1!$R$2:$AX$20,33,0)</f>
        <v>#N/A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s="2">
        <v>0</v>
      </c>
      <c r="Z145" t="s">
        <v>9</v>
      </c>
      <c r="AA145" t="s">
        <v>9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t="s">
        <v>9</v>
      </c>
      <c r="AQ145" t="s">
        <v>9</v>
      </c>
      <c r="AR145" t="s">
        <v>9</v>
      </c>
      <c r="CZ145" t="s">
        <v>679</v>
      </c>
    </row>
    <row r="146" spans="1:104" x14ac:dyDescent="0.25">
      <c r="A146" t="s">
        <v>74</v>
      </c>
      <c r="B146" t="s">
        <v>611</v>
      </c>
      <c r="C146" t="s">
        <v>32</v>
      </c>
      <c r="D146" t="s">
        <v>3</v>
      </c>
      <c r="E146" t="s">
        <v>4</v>
      </c>
      <c r="F146" t="s">
        <v>5</v>
      </c>
      <c r="G146" t="s">
        <v>6</v>
      </c>
      <c r="H146" s="2">
        <v>450</v>
      </c>
      <c r="I146" s="2">
        <v>450</v>
      </c>
      <c r="J146" s="2">
        <v>0</v>
      </c>
      <c r="K146" s="2">
        <v>450</v>
      </c>
      <c r="L146" t="s">
        <v>7</v>
      </c>
      <c r="M146" t="s">
        <v>8</v>
      </c>
      <c r="N146" t="s">
        <v>9</v>
      </c>
      <c r="O146" t="s">
        <v>9</v>
      </c>
      <c r="P146" t="s">
        <v>9</v>
      </c>
      <c r="Q146" t="s">
        <v>77</v>
      </c>
      <c r="R146" t="str">
        <f t="shared" si="2"/>
        <v>131500007020DIPIKA</v>
      </c>
      <c r="S146" t="e">
        <f>VLOOKUP(R146,[2]Sheet1!$R$2:$AX$20,33,0)</f>
        <v>#N/A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s="2">
        <v>0</v>
      </c>
      <c r="Z146" t="s">
        <v>9</v>
      </c>
      <c r="AA146" t="s">
        <v>9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t="s">
        <v>9</v>
      </c>
      <c r="AQ146" t="s">
        <v>9</v>
      </c>
      <c r="AR146" t="s">
        <v>9</v>
      </c>
      <c r="CZ146" t="s">
        <v>681</v>
      </c>
    </row>
    <row r="147" spans="1:104" x14ac:dyDescent="0.25">
      <c r="A147" t="s">
        <v>74</v>
      </c>
      <c r="B147" t="s">
        <v>612</v>
      </c>
      <c r="C147" t="s">
        <v>32</v>
      </c>
      <c r="D147" t="s">
        <v>3</v>
      </c>
      <c r="E147" t="s">
        <v>4</v>
      </c>
      <c r="F147" t="s">
        <v>5</v>
      </c>
      <c r="G147" t="s">
        <v>6</v>
      </c>
      <c r="H147" s="2">
        <v>450</v>
      </c>
      <c r="I147" s="2">
        <v>450</v>
      </c>
      <c r="J147" s="2">
        <v>0</v>
      </c>
      <c r="K147" s="2">
        <v>450</v>
      </c>
      <c r="L147" t="s">
        <v>7</v>
      </c>
      <c r="M147" t="s">
        <v>8</v>
      </c>
      <c r="N147" t="s">
        <v>9</v>
      </c>
      <c r="O147" t="s">
        <v>9</v>
      </c>
      <c r="P147" t="s">
        <v>9</v>
      </c>
      <c r="Q147" t="s">
        <v>77</v>
      </c>
      <c r="R147" t="str">
        <f t="shared" si="2"/>
        <v>131500007022DIPIKA</v>
      </c>
      <c r="S147" t="e">
        <f>VLOOKUP(R147,[2]Sheet1!$R$2:$AX$20,33,0)</f>
        <v>#N/A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s="2">
        <v>0</v>
      </c>
      <c r="Z147" t="s">
        <v>9</v>
      </c>
      <c r="AA147" t="s">
        <v>9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t="s">
        <v>9</v>
      </c>
      <c r="AQ147" t="s">
        <v>9</v>
      </c>
      <c r="AR147" t="s">
        <v>9</v>
      </c>
      <c r="CZ147" t="s">
        <v>680</v>
      </c>
    </row>
    <row r="148" spans="1:104" x14ac:dyDescent="0.25">
      <c r="A148" t="s">
        <v>74</v>
      </c>
      <c r="B148" t="s">
        <v>613</v>
      </c>
      <c r="C148" t="s">
        <v>32</v>
      </c>
      <c r="D148" t="s">
        <v>3</v>
      </c>
      <c r="E148" t="s">
        <v>4</v>
      </c>
      <c r="F148" t="s">
        <v>5</v>
      </c>
      <c r="G148" t="s">
        <v>6</v>
      </c>
      <c r="H148" s="2">
        <v>75000</v>
      </c>
      <c r="I148" s="2">
        <v>75000</v>
      </c>
      <c r="J148" s="2">
        <v>0</v>
      </c>
      <c r="K148" s="2">
        <v>75000</v>
      </c>
      <c r="L148" t="s">
        <v>7</v>
      </c>
      <c r="M148" t="s">
        <v>8</v>
      </c>
      <c r="N148" t="s">
        <v>9</v>
      </c>
      <c r="O148" t="s">
        <v>9</v>
      </c>
      <c r="P148" t="s">
        <v>9</v>
      </c>
      <c r="Q148" t="s">
        <v>77</v>
      </c>
      <c r="R148" t="str">
        <f t="shared" si="2"/>
        <v>131500007018DIPIKA</v>
      </c>
      <c r="S148" t="e">
        <f>VLOOKUP(R148,[2]Sheet1!$R$2:$AX$20,33,0)</f>
        <v>#N/A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s="2">
        <v>0</v>
      </c>
      <c r="Z148" t="s">
        <v>9</v>
      </c>
      <c r="AA148" t="s">
        <v>9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t="s">
        <v>9</v>
      </c>
      <c r="AQ148" t="s">
        <v>9</v>
      </c>
      <c r="AR148" t="s">
        <v>9</v>
      </c>
      <c r="CZ148" t="s">
        <v>679</v>
      </c>
    </row>
    <row r="149" spans="1:104" x14ac:dyDescent="0.25">
      <c r="A149" t="s">
        <v>74</v>
      </c>
      <c r="B149" t="s">
        <v>614</v>
      </c>
      <c r="C149" t="s">
        <v>32</v>
      </c>
      <c r="D149" t="s">
        <v>3</v>
      </c>
      <c r="E149" t="s">
        <v>4</v>
      </c>
      <c r="F149" t="s">
        <v>5</v>
      </c>
      <c r="G149" t="s">
        <v>6</v>
      </c>
      <c r="H149" s="2">
        <v>100</v>
      </c>
      <c r="I149" s="2">
        <v>100</v>
      </c>
      <c r="J149" s="2">
        <v>0</v>
      </c>
      <c r="K149" s="2">
        <v>100</v>
      </c>
      <c r="L149" t="s">
        <v>7</v>
      </c>
      <c r="M149" t="s">
        <v>8</v>
      </c>
      <c r="N149" t="s">
        <v>9</v>
      </c>
      <c r="O149" t="s">
        <v>9</v>
      </c>
      <c r="P149" t="s">
        <v>9</v>
      </c>
      <c r="Q149" t="s">
        <v>77</v>
      </c>
      <c r="R149" t="str">
        <f t="shared" si="2"/>
        <v>131500007023DIPIKA</v>
      </c>
      <c r="S149" t="e">
        <f>VLOOKUP(R149,[2]Sheet1!$R$2:$AX$20,33,0)</f>
        <v>#N/A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s="2">
        <v>0</v>
      </c>
      <c r="Z149" t="s">
        <v>9</v>
      </c>
      <c r="AA149" t="s">
        <v>9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t="s">
        <v>9</v>
      </c>
      <c r="AQ149" t="s">
        <v>9</v>
      </c>
      <c r="AR149" t="s">
        <v>9</v>
      </c>
      <c r="CZ149" t="s">
        <v>682</v>
      </c>
    </row>
    <row r="150" spans="1:104" x14ac:dyDescent="0.25">
      <c r="A150" t="s">
        <v>74</v>
      </c>
      <c r="B150" t="s">
        <v>615</v>
      </c>
      <c r="C150" t="s">
        <v>32</v>
      </c>
      <c r="D150" t="s">
        <v>3</v>
      </c>
      <c r="E150" t="s">
        <v>4</v>
      </c>
      <c r="F150" t="s">
        <v>5</v>
      </c>
      <c r="G150" t="s">
        <v>6</v>
      </c>
      <c r="H150" s="2">
        <v>450</v>
      </c>
      <c r="I150" s="2">
        <v>450</v>
      </c>
      <c r="J150" s="2">
        <v>0</v>
      </c>
      <c r="K150" s="2">
        <v>450</v>
      </c>
      <c r="L150" t="s">
        <v>7</v>
      </c>
      <c r="M150" t="s">
        <v>8</v>
      </c>
      <c r="N150" t="s">
        <v>9</v>
      </c>
      <c r="O150" t="s">
        <v>9</v>
      </c>
      <c r="P150" t="s">
        <v>9</v>
      </c>
      <c r="Q150" t="s">
        <v>77</v>
      </c>
      <c r="R150" t="str">
        <f t="shared" ref="R150:R213" si="3">CONCATENATE(Q150,CZ150,"DIPIKA")</f>
        <v>131500007023DIPIKA</v>
      </c>
      <c r="S150" t="e">
        <f>VLOOKUP(R150,[2]Sheet1!$R$2:$AX$20,33,0)</f>
        <v>#N/A</v>
      </c>
      <c r="T150" t="s">
        <v>9</v>
      </c>
      <c r="U150" t="s">
        <v>9</v>
      </c>
      <c r="V150" t="s">
        <v>9</v>
      </c>
      <c r="W150" t="s">
        <v>9</v>
      </c>
      <c r="X150" t="s">
        <v>9</v>
      </c>
      <c r="Y150" s="2">
        <v>0</v>
      </c>
      <c r="Z150" t="s">
        <v>9</v>
      </c>
      <c r="AA150" t="s">
        <v>9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t="s">
        <v>9</v>
      </c>
      <c r="AQ150" t="s">
        <v>9</v>
      </c>
      <c r="AR150" t="s">
        <v>9</v>
      </c>
      <c r="CZ150" t="s">
        <v>682</v>
      </c>
    </row>
    <row r="151" spans="1:104" x14ac:dyDescent="0.25">
      <c r="A151" t="s">
        <v>74</v>
      </c>
      <c r="B151" t="s">
        <v>616</v>
      </c>
      <c r="C151" t="s">
        <v>32</v>
      </c>
      <c r="D151" t="s">
        <v>3</v>
      </c>
      <c r="E151" t="s">
        <v>4</v>
      </c>
      <c r="F151" t="s">
        <v>5</v>
      </c>
      <c r="G151" t="s">
        <v>6</v>
      </c>
      <c r="H151" s="2">
        <v>450</v>
      </c>
      <c r="I151" s="2">
        <v>450</v>
      </c>
      <c r="J151" s="2">
        <v>0</v>
      </c>
      <c r="K151" s="2">
        <v>450</v>
      </c>
      <c r="L151" t="s">
        <v>7</v>
      </c>
      <c r="M151" t="s">
        <v>8</v>
      </c>
      <c r="N151" t="s">
        <v>9</v>
      </c>
      <c r="O151" t="s">
        <v>9</v>
      </c>
      <c r="P151" t="s">
        <v>9</v>
      </c>
      <c r="Q151" t="s">
        <v>77</v>
      </c>
      <c r="R151" t="str">
        <f t="shared" si="3"/>
        <v>131500007026DIPIKA</v>
      </c>
      <c r="S151" t="e">
        <f>VLOOKUP(R151,[2]Sheet1!$R$2:$AX$20,33,0)</f>
        <v>#N/A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s="2">
        <v>0</v>
      </c>
      <c r="Z151" t="s">
        <v>9</v>
      </c>
      <c r="AA151" t="s">
        <v>9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t="s">
        <v>9</v>
      </c>
      <c r="AQ151" t="s">
        <v>9</v>
      </c>
      <c r="AR151" t="s">
        <v>9</v>
      </c>
      <c r="CZ151" t="s">
        <v>684</v>
      </c>
    </row>
    <row r="152" spans="1:104" x14ac:dyDescent="0.25">
      <c r="A152" t="s">
        <v>74</v>
      </c>
      <c r="B152" t="s">
        <v>617</v>
      </c>
      <c r="C152" t="s">
        <v>32</v>
      </c>
      <c r="D152" t="s">
        <v>3</v>
      </c>
      <c r="E152" t="s">
        <v>4</v>
      </c>
      <c r="F152" t="s">
        <v>5</v>
      </c>
      <c r="G152" t="s">
        <v>6</v>
      </c>
      <c r="H152" s="2">
        <v>11000</v>
      </c>
      <c r="I152" s="2">
        <v>11000</v>
      </c>
      <c r="J152" s="2">
        <v>0</v>
      </c>
      <c r="K152" s="2">
        <v>11000</v>
      </c>
      <c r="L152" t="s">
        <v>7</v>
      </c>
      <c r="M152" t="s">
        <v>8</v>
      </c>
      <c r="N152" t="s">
        <v>9</v>
      </c>
      <c r="O152" t="s">
        <v>9</v>
      </c>
      <c r="P152" t="s">
        <v>9</v>
      </c>
      <c r="Q152" t="s">
        <v>77</v>
      </c>
      <c r="R152" t="str">
        <f t="shared" si="3"/>
        <v>131500007026DIPIKA</v>
      </c>
      <c r="S152" t="e">
        <f>VLOOKUP(R152,[2]Sheet1!$R$2:$AX$20,33,0)</f>
        <v>#N/A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s="2">
        <v>0</v>
      </c>
      <c r="Z152" t="s">
        <v>9</v>
      </c>
      <c r="AA152" t="s">
        <v>9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t="s">
        <v>9</v>
      </c>
      <c r="AQ152" t="s">
        <v>9</v>
      </c>
      <c r="AR152" t="s">
        <v>9</v>
      </c>
      <c r="CZ152" t="s">
        <v>684</v>
      </c>
    </row>
    <row r="153" spans="1:104" x14ac:dyDescent="0.25">
      <c r="A153" t="s">
        <v>74</v>
      </c>
      <c r="B153" t="s">
        <v>618</v>
      </c>
      <c r="C153" t="s">
        <v>32</v>
      </c>
      <c r="D153" t="s">
        <v>3</v>
      </c>
      <c r="E153" t="s">
        <v>4</v>
      </c>
      <c r="F153" t="s">
        <v>5</v>
      </c>
      <c r="G153" t="s">
        <v>6</v>
      </c>
      <c r="H153" s="2">
        <v>450</v>
      </c>
      <c r="I153" s="2">
        <v>450</v>
      </c>
      <c r="J153" s="2">
        <v>0</v>
      </c>
      <c r="K153" s="2">
        <v>450</v>
      </c>
      <c r="L153" t="s">
        <v>7</v>
      </c>
      <c r="M153" t="s">
        <v>8</v>
      </c>
      <c r="N153" t="s">
        <v>9</v>
      </c>
      <c r="O153" t="s">
        <v>9</v>
      </c>
      <c r="P153" t="s">
        <v>9</v>
      </c>
      <c r="Q153" t="s">
        <v>77</v>
      </c>
      <c r="R153" t="str">
        <f t="shared" si="3"/>
        <v>131500007020DIPIKA</v>
      </c>
      <c r="S153" t="e">
        <f>VLOOKUP(R153,[2]Sheet1!$R$2:$AX$20,33,0)</f>
        <v>#N/A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s="2">
        <v>0</v>
      </c>
      <c r="Z153" t="s">
        <v>9</v>
      </c>
      <c r="AA153" t="s">
        <v>9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t="s">
        <v>9</v>
      </c>
      <c r="AQ153" t="s">
        <v>9</v>
      </c>
      <c r="AR153" t="s">
        <v>9</v>
      </c>
      <c r="CZ153" t="s">
        <v>681</v>
      </c>
    </row>
    <row r="154" spans="1:104" x14ac:dyDescent="0.25">
      <c r="A154" t="s">
        <v>74</v>
      </c>
      <c r="B154" t="s">
        <v>619</v>
      </c>
      <c r="C154" t="s">
        <v>32</v>
      </c>
      <c r="D154" t="s">
        <v>3</v>
      </c>
      <c r="E154" t="s">
        <v>4</v>
      </c>
      <c r="F154" t="s">
        <v>5</v>
      </c>
      <c r="G154" t="s">
        <v>6</v>
      </c>
      <c r="H154" s="2">
        <v>200</v>
      </c>
      <c r="I154" s="2">
        <v>200</v>
      </c>
      <c r="J154" s="2">
        <v>0</v>
      </c>
      <c r="K154" s="2">
        <v>200</v>
      </c>
      <c r="L154" t="s">
        <v>7</v>
      </c>
      <c r="M154" t="s">
        <v>8</v>
      </c>
      <c r="N154" t="s">
        <v>9</v>
      </c>
      <c r="O154" t="s">
        <v>9</v>
      </c>
      <c r="P154" t="s">
        <v>9</v>
      </c>
      <c r="Q154" t="s">
        <v>77</v>
      </c>
      <c r="R154" t="str">
        <f t="shared" si="3"/>
        <v>131500007023DIPIKA</v>
      </c>
      <c r="S154" t="e">
        <f>VLOOKUP(R154,[2]Sheet1!$R$2:$AX$20,33,0)</f>
        <v>#N/A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s="2">
        <v>0</v>
      </c>
      <c r="Z154" t="s">
        <v>9</v>
      </c>
      <c r="AA154" t="s">
        <v>9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t="s">
        <v>9</v>
      </c>
      <c r="AQ154" t="s">
        <v>9</v>
      </c>
      <c r="AR154" t="s">
        <v>9</v>
      </c>
      <c r="CZ154" t="s">
        <v>682</v>
      </c>
    </row>
    <row r="155" spans="1:104" x14ac:dyDescent="0.25">
      <c r="A155" t="s">
        <v>74</v>
      </c>
      <c r="B155" t="s">
        <v>620</v>
      </c>
      <c r="C155" t="s">
        <v>32</v>
      </c>
      <c r="D155" t="s">
        <v>3</v>
      </c>
      <c r="E155" t="s">
        <v>4</v>
      </c>
      <c r="F155" t="s">
        <v>5</v>
      </c>
      <c r="G155" t="s">
        <v>6</v>
      </c>
      <c r="H155" s="2">
        <v>150</v>
      </c>
      <c r="I155" s="2">
        <v>150</v>
      </c>
      <c r="J155" s="2">
        <v>0</v>
      </c>
      <c r="K155" s="2">
        <v>150</v>
      </c>
      <c r="L155" t="s">
        <v>7</v>
      </c>
      <c r="M155" t="s">
        <v>8</v>
      </c>
      <c r="N155" t="s">
        <v>9</v>
      </c>
      <c r="O155" t="s">
        <v>9</v>
      </c>
      <c r="P155" t="s">
        <v>9</v>
      </c>
      <c r="Q155" t="s">
        <v>77</v>
      </c>
      <c r="R155" t="str">
        <f t="shared" si="3"/>
        <v>131500007022DIPIKA</v>
      </c>
      <c r="S155" t="e">
        <f>VLOOKUP(R155,[2]Sheet1!$R$2:$AX$20,33,0)</f>
        <v>#N/A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s="2">
        <v>0</v>
      </c>
      <c r="Z155" t="s">
        <v>9</v>
      </c>
      <c r="AA155" t="s">
        <v>9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t="s">
        <v>9</v>
      </c>
      <c r="AQ155" t="s">
        <v>9</v>
      </c>
      <c r="AR155" t="s">
        <v>9</v>
      </c>
      <c r="CZ155" t="s">
        <v>680</v>
      </c>
    </row>
    <row r="156" spans="1:104" x14ac:dyDescent="0.25">
      <c r="A156" t="s">
        <v>74</v>
      </c>
      <c r="B156" t="s">
        <v>621</v>
      </c>
      <c r="C156" t="s">
        <v>32</v>
      </c>
      <c r="D156" t="s">
        <v>3</v>
      </c>
      <c r="E156" t="s">
        <v>4</v>
      </c>
      <c r="F156" t="s">
        <v>5</v>
      </c>
      <c r="G156" t="s">
        <v>6</v>
      </c>
      <c r="H156" s="2">
        <v>50000</v>
      </c>
      <c r="I156" s="2">
        <v>50000</v>
      </c>
      <c r="J156" s="2">
        <v>0</v>
      </c>
      <c r="K156" s="2">
        <v>50000</v>
      </c>
      <c r="L156" t="s">
        <v>7</v>
      </c>
      <c r="M156" t="s">
        <v>8</v>
      </c>
      <c r="N156" t="s">
        <v>9</v>
      </c>
      <c r="O156" t="s">
        <v>9</v>
      </c>
      <c r="P156" t="s">
        <v>9</v>
      </c>
      <c r="Q156" t="s">
        <v>77</v>
      </c>
      <c r="R156" t="str">
        <f t="shared" si="3"/>
        <v>131500007014DIPIKA</v>
      </c>
      <c r="S156" t="e">
        <f>VLOOKUP(R156,[2]Sheet1!$R$2:$AX$20,33,0)</f>
        <v>#N/A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s="2">
        <v>0</v>
      </c>
      <c r="Z156" t="s">
        <v>9</v>
      </c>
      <c r="AA156" t="s">
        <v>9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t="s">
        <v>9</v>
      </c>
      <c r="AQ156" t="s">
        <v>9</v>
      </c>
      <c r="AR156" t="s">
        <v>9</v>
      </c>
      <c r="CZ156" t="s">
        <v>78</v>
      </c>
    </row>
    <row r="157" spans="1:104" x14ac:dyDescent="0.25">
      <c r="A157" t="s">
        <v>74</v>
      </c>
      <c r="B157" t="s">
        <v>622</v>
      </c>
      <c r="C157" t="s">
        <v>32</v>
      </c>
      <c r="D157" t="s">
        <v>3</v>
      </c>
      <c r="E157" t="s">
        <v>4</v>
      </c>
      <c r="F157" t="s">
        <v>5</v>
      </c>
      <c r="G157" t="s">
        <v>6</v>
      </c>
      <c r="H157" s="2">
        <v>50000</v>
      </c>
      <c r="I157" s="2">
        <v>50000</v>
      </c>
      <c r="J157" s="2">
        <v>0</v>
      </c>
      <c r="K157" s="2">
        <v>50000</v>
      </c>
      <c r="L157" t="s">
        <v>7</v>
      </c>
      <c r="M157" t="s">
        <v>8</v>
      </c>
      <c r="N157" t="s">
        <v>9</v>
      </c>
      <c r="O157" t="s">
        <v>9</v>
      </c>
      <c r="P157" t="s">
        <v>9</v>
      </c>
      <c r="Q157" t="s">
        <v>77</v>
      </c>
      <c r="R157" t="str">
        <f t="shared" si="3"/>
        <v>131500007014DIPIKA</v>
      </c>
      <c r="S157" t="e">
        <f>VLOOKUP(R157,[2]Sheet1!$R$2:$AX$20,33,0)</f>
        <v>#N/A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s="2">
        <v>0</v>
      </c>
      <c r="Z157" t="s">
        <v>9</v>
      </c>
      <c r="AA157" t="s">
        <v>9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t="s">
        <v>9</v>
      </c>
      <c r="AQ157" t="s">
        <v>9</v>
      </c>
      <c r="AR157" t="s">
        <v>9</v>
      </c>
      <c r="CZ157" t="s">
        <v>78</v>
      </c>
    </row>
    <row r="158" spans="1:104" x14ac:dyDescent="0.25">
      <c r="A158" t="s">
        <v>74</v>
      </c>
      <c r="B158" t="s">
        <v>623</v>
      </c>
      <c r="C158" t="s">
        <v>32</v>
      </c>
      <c r="D158" t="s">
        <v>3</v>
      </c>
      <c r="E158" t="s">
        <v>4</v>
      </c>
      <c r="F158" t="s">
        <v>5</v>
      </c>
      <c r="G158" t="s">
        <v>6</v>
      </c>
      <c r="H158" s="2">
        <v>50000</v>
      </c>
      <c r="I158" s="2">
        <v>50000</v>
      </c>
      <c r="J158" s="2">
        <v>0</v>
      </c>
      <c r="K158" s="2">
        <v>50000</v>
      </c>
      <c r="L158" t="s">
        <v>7</v>
      </c>
      <c r="M158" t="s">
        <v>8</v>
      </c>
      <c r="N158" t="s">
        <v>9</v>
      </c>
      <c r="O158" t="s">
        <v>9</v>
      </c>
      <c r="P158" t="s">
        <v>9</v>
      </c>
      <c r="Q158" t="s">
        <v>77</v>
      </c>
      <c r="R158" t="str">
        <f t="shared" si="3"/>
        <v>131500007014DIPIKA</v>
      </c>
      <c r="S158" t="e">
        <f>VLOOKUP(R158,[2]Sheet1!$R$2:$AX$20,33,0)</f>
        <v>#N/A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s="2">
        <v>0</v>
      </c>
      <c r="Z158" t="s">
        <v>9</v>
      </c>
      <c r="AA158" t="s">
        <v>9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t="s">
        <v>9</v>
      </c>
      <c r="AQ158" t="s">
        <v>9</v>
      </c>
      <c r="AR158" t="s">
        <v>9</v>
      </c>
      <c r="CZ158" t="s">
        <v>78</v>
      </c>
    </row>
    <row r="159" spans="1:104" x14ac:dyDescent="0.25">
      <c r="A159" t="s">
        <v>74</v>
      </c>
      <c r="B159" t="s">
        <v>624</v>
      </c>
      <c r="C159" t="s">
        <v>32</v>
      </c>
      <c r="D159" t="s">
        <v>3</v>
      </c>
      <c r="E159" t="s">
        <v>4</v>
      </c>
      <c r="F159" t="s">
        <v>5</v>
      </c>
      <c r="G159" t="s">
        <v>6</v>
      </c>
      <c r="H159" s="2">
        <v>85000</v>
      </c>
      <c r="I159" s="2">
        <v>85000</v>
      </c>
      <c r="J159" s="2">
        <v>0</v>
      </c>
      <c r="K159" s="2">
        <v>85000</v>
      </c>
      <c r="L159" t="s">
        <v>7</v>
      </c>
      <c r="M159" t="s">
        <v>8</v>
      </c>
      <c r="N159" t="s">
        <v>9</v>
      </c>
      <c r="O159" t="s">
        <v>9</v>
      </c>
      <c r="P159" t="s">
        <v>9</v>
      </c>
      <c r="Q159" t="s">
        <v>77</v>
      </c>
      <c r="R159" t="str">
        <f t="shared" si="3"/>
        <v>131500007014DIPIKA</v>
      </c>
      <c r="S159" t="e">
        <f>VLOOKUP(R159,[2]Sheet1!$R$2:$AX$20,33,0)</f>
        <v>#N/A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s="2">
        <v>0</v>
      </c>
      <c r="Z159" t="s">
        <v>9</v>
      </c>
      <c r="AA159" t="s">
        <v>9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t="s">
        <v>9</v>
      </c>
      <c r="AQ159" t="s">
        <v>9</v>
      </c>
      <c r="AR159" t="s">
        <v>9</v>
      </c>
      <c r="CZ159" t="s">
        <v>78</v>
      </c>
    </row>
    <row r="160" spans="1:104" x14ac:dyDescent="0.25">
      <c r="A160" t="s">
        <v>74</v>
      </c>
      <c r="B160" t="s">
        <v>625</v>
      </c>
      <c r="C160" t="s">
        <v>32</v>
      </c>
      <c r="D160" t="s">
        <v>3</v>
      </c>
      <c r="E160" t="s">
        <v>4</v>
      </c>
      <c r="F160" t="s">
        <v>5</v>
      </c>
      <c r="G160" t="s">
        <v>6</v>
      </c>
      <c r="H160" s="2">
        <v>154000</v>
      </c>
      <c r="I160" s="2">
        <v>154000</v>
      </c>
      <c r="J160" s="2">
        <v>0</v>
      </c>
      <c r="K160" s="2">
        <v>154000</v>
      </c>
      <c r="L160" t="s">
        <v>7</v>
      </c>
      <c r="M160" t="s">
        <v>8</v>
      </c>
      <c r="N160" t="s">
        <v>9</v>
      </c>
      <c r="O160" t="s">
        <v>9</v>
      </c>
      <c r="P160" t="s">
        <v>9</v>
      </c>
      <c r="Q160" t="s">
        <v>77</v>
      </c>
      <c r="R160" t="str">
        <f t="shared" si="3"/>
        <v>131500007014DIPIKA</v>
      </c>
      <c r="S160" t="e">
        <f>VLOOKUP(R160,[2]Sheet1!$R$2:$AX$20,33,0)</f>
        <v>#N/A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s="2">
        <v>0</v>
      </c>
      <c r="Z160" t="s">
        <v>9</v>
      </c>
      <c r="AA160" t="s">
        <v>9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t="s">
        <v>9</v>
      </c>
      <c r="AQ160" t="s">
        <v>9</v>
      </c>
      <c r="AR160" t="s">
        <v>9</v>
      </c>
      <c r="CZ160" t="s">
        <v>78</v>
      </c>
    </row>
    <row r="161" spans="1:104" x14ac:dyDescent="0.25">
      <c r="A161" t="s">
        <v>74</v>
      </c>
      <c r="B161" t="s">
        <v>626</v>
      </c>
      <c r="C161" t="s">
        <v>32</v>
      </c>
      <c r="D161" t="s">
        <v>3</v>
      </c>
      <c r="E161" t="s">
        <v>4</v>
      </c>
      <c r="F161" t="s">
        <v>5</v>
      </c>
      <c r="G161" t="s">
        <v>6</v>
      </c>
      <c r="H161" s="2">
        <v>70000</v>
      </c>
      <c r="I161" s="2">
        <v>70000</v>
      </c>
      <c r="J161" s="2">
        <v>0</v>
      </c>
      <c r="K161" s="2">
        <v>70000</v>
      </c>
      <c r="L161" t="s">
        <v>7</v>
      </c>
      <c r="M161" t="s">
        <v>8</v>
      </c>
      <c r="N161" t="s">
        <v>9</v>
      </c>
      <c r="O161" t="s">
        <v>9</v>
      </c>
      <c r="P161" t="s">
        <v>9</v>
      </c>
      <c r="Q161" t="s">
        <v>77</v>
      </c>
      <c r="R161" t="str">
        <f t="shared" si="3"/>
        <v>131500007014DIPIKA</v>
      </c>
      <c r="S161" t="e">
        <f>VLOOKUP(R161,[2]Sheet1!$R$2:$AX$20,33,0)</f>
        <v>#N/A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s="2">
        <v>0</v>
      </c>
      <c r="Z161" t="s">
        <v>9</v>
      </c>
      <c r="AA161" t="s">
        <v>9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t="s">
        <v>9</v>
      </c>
      <c r="AQ161" t="s">
        <v>9</v>
      </c>
      <c r="AR161" t="s">
        <v>9</v>
      </c>
      <c r="CZ161" t="s">
        <v>78</v>
      </c>
    </row>
    <row r="162" spans="1:104" x14ac:dyDescent="0.25">
      <c r="A162" t="s">
        <v>627</v>
      </c>
      <c r="B162" t="s">
        <v>513</v>
      </c>
      <c r="C162" t="s">
        <v>99</v>
      </c>
      <c r="D162" t="s">
        <v>3</v>
      </c>
      <c r="E162" t="s">
        <v>4</v>
      </c>
      <c r="F162" t="s">
        <v>5</v>
      </c>
      <c r="G162" t="s">
        <v>6</v>
      </c>
      <c r="H162" s="2">
        <v>2000</v>
      </c>
      <c r="I162" s="2">
        <v>2000</v>
      </c>
      <c r="J162" s="2">
        <v>0</v>
      </c>
      <c r="K162" s="2">
        <v>2000</v>
      </c>
      <c r="L162" t="s">
        <v>7</v>
      </c>
      <c r="M162" t="s">
        <v>9</v>
      </c>
      <c r="N162" t="s">
        <v>107</v>
      </c>
      <c r="O162" t="s">
        <v>9</v>
      </c>
      <c r="P162" t="s">
        <v>9</v>
      </c>
      <c r="Q162" t="s">
        <v>628</v>
      </c>
      <c r="R162" t="str">
        <f t="shared" si="3"/>
        <v>200071100000030DIPIKA</v>
      </c>
      <c r="S162" t="e">
        <f>VLOOKUP(R162,[2]Sheet1!$R$2:$AX$20,33,0)</f>
        <v>#N/A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s="2">
        <v>0</v>
      </c>
      <c r="Z162" t="s">
        <v>9</v>
      </c>
      <c r="AA162" t="s">
        <v>9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t="s">
        <v>9</v>
      </c>
      <c r="AQ162" t="s">
        <v>9</v>
      </c>
      <c r="AR162" t="s">
        <v>9</v>
      </c>
      <c r="CZ162" t="s">
        <v>685</v>
      </c>
    </row>
    <row r="163" spans="1:104" x14ac:dyDescent="0.25">
      <c r="A163" t="s">
        <v>627</v>
      </c>
      <c r="B163" t="s">
        <v>516</v>
      </c>
      <c r="C163" t="s">
        <v>99</v>
      </c>
      <c r="D163" t="s">
        <v>3</v>
      </c>
      <c r="E163" t="s">
        <v>4</v>
      </c>
      <c r="F163" t="s">
        <v>5</v>
      </c>
      <c r="G163" t="s">
        <v>6</v>
      </c>
      <c r="H163" s="2">
        <v>500</v>
      </c>
      <c r="I163" s="2">
        <v>500</v>
      </c>
      <c r="J163" s="2">
        <v>0</v>
      </c>
      <c r="K163" s="2">
        <v>500</v>
      </c>
      <c r="L163" t="s">
        <v>7</v>
      </c>
      <c r="M163" t="s">
        <v>9</v>
      </c>
      <c r="N163" t="s">
        <v>629</v>
      </c>
      <c r="O163" t="s">
        <v>9</v>
      </c>
      <c r="P163" t="s">
        <v>9</v>
      </c>
      <c r="Q163" t="s">
        <v>628</v>
      </c>
      <c r="R163" t="str">
        <f t="shared" si="3"/>
        <v>200071100000030DIPIKA</v>
      </c>
      <c r="S163" t="e">
        <f>VLOOKUP(R163,[2]Sheet1!$R$2:$AX$20,33,0)</f>
        <v>#N/A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s="2">
        <v>0</v>
      </c>
      <c r="Z163" t="s">
        <v>9</v>
      </c>
      <c r="AA163" t="s">
        <v>9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t="s">
        <v>9</v>
      </c>
      <c r="AQ163" t="s">
        <v>9</v>
      </c>
      <c r="AR163" t="s">
        <v>9</v>
      </c>
      <c r="CZ163" t="s">
        <v>685</v>
      </c>
    </row>
    <row r="164" spans="1:104" x14ac:dyDescent="0.25">
      <c r="A164" t="s">
        <v>82</v>
      </c>
      <c r="B164" t="s">
        <v>513</v>
      </c>
      <c r="C164" t="s">
        <v>32</v>
      </c>
      <c r="D164" t="s">
        <v>3</v>
      </c>
      <c r="E164" t="s">
        <v>4</v>
      </c>
      <c r="F164" t="s">
        <v>5</v>
      </c>
      <c r="G164" t="s">
        <v>6</v>
      </c>
      <c r="H164" s="2">
        <v>10000</v>
      </c>
      <c r="I164" s="2">
        <v>10000</v>
      </c>
      <c r="J164" s="2">
        <v>0</v>
      </c>
      <c r="K164" s="2">
        <v>10000</v>
      </c>
      <c r="L164" t="s">
        <v>7</v>
      </c>
      <c r="M164" t="s">
        <v>9</v>
      </c>
      <c r="N164" t="s">
        <v>9</v>
      </c>
      <c r="O164" t="s">
        <v>9</v>
      </c>
      <c r="P164" t="s">
        <v>9</v>
      </c>
      <c r="Q164" t="s">
        <v>83</v>
      </c>
      <c r="R164" t="str">
        <f t="shared" si="3"/>
        <v>2000081100000039DIPIKA</v>
      </c>
      <c r="S164" t="e">
        <f>VLOOKUP(R164,[2]Sheet1!$R$2:$AX$20,33,0)</f>
        <v>#N/A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s="2">
        <v>0</v>
      </c>
      <c r="Z164" t="s">
        <v>9</v>
      </c>
      <c r="AA164" t="s">
        <v>9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t="s">
        <v>9</v>
      </c>
      <c r="AQ164" t="s">
        <v>9</v>
      </c>
      <c r="AR164" t="s">
        <v>9</v>
      </c>
      <c r="CZ164" t="s">
        <v>85</v>
      </c>
    </row>
    <row r="165" spans="1:104" x14ac:dyDescent="0.25">
      <c r="A165" t="s">
        <v>82</v>
      </c>
      <c r="B165" t="s">
        <v>515</v>
      </c>
      <c r="C165" t="s">
        <v>32</v>
      </c>
      <c r="D165" t="s">
        <v>3</v>
      </c>
      <c r="E165" t="s">
        <v>4</v>
      </c>
      <c r="F165" t="s">
        <v>5</v>
      </c>
      <c r="G165" t="s">
        <v>6</v>
      </c>
      <c r="H165" s="2">
        <v>10000</v>
      </c>
      <c r="I165" s="2">
        <v>10000</v>
      </c>
      <c r="J165" s="2">
        <v>0</v>
      </c>
      <c r="K165" s="2">
        <v>10000</v>
      </c>
      <c r="L165" t="s">
        <v>7</v>
      </c>
      <c r="M165" t="s">
        <v>9</v>
      </c>
      <c r="N165" t="s">
        <v>9</v>
      </c>
      <c r="O165" t="s">
        <v>9</v>
      </c>
      <c r="P165" t="s">
        <v>9</v>
      </c>
      <c r="Q165" t="s">
        <v>83</v>
      </c>
      <c r="R165" t="str">
        <f t="shared" si="3"/>
        <v>2000081100000039DIPIKA</v>
      </c>
      <c r="S165" t="e">
        <f>VLOOKUP(R165,[2]Sheet1!$R$2:$AX$20,33,0)</f>
        <v>#N/A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s="2">
        <v>0</v>
      </c>
      <c r="Z165" t="s">
        <v>9</v>
      </c>
      <c r="AA165" t="s">
        <v>9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t="s">
        <v>9</v>
      </c>
      <c r="AQ165" t="s">
        <v>9</v>
      </c>
      <c r="AR165" t="s">
        <v>9</v>
      </c>
      <c r="CZ165" t="s">
        <v>85</v>
      </c>
    </row>
    <row r="166" spans="1:104" x14ac:dyDescent="0.25">
      <c r="A166" t="s">
        <v>82</v>
      </c>
      <c r="B166" t="s">
        <v>516</v>
      </c>
      <c r="C166" t="s">
        <v>32</v>
      </c>
      <c r="D166" t="s">
        <v>3</v>
      </c>
      <c r="E166" t="s">
        <v>4</v>
      </c>
      <c r="F166" t="s">
        <v>5</v>
      </c>
      <c r="G166" t="s">
        <v>6</v>
      </c>
      <c r="H166" s="2">
        <v>100000</v>
      </c>
      <c r="I166" s="2">
        <v>100000</v>
      </c>
      <c r="J166" s="2">
        <v>0</v>
      </c>
      <c r="K166" s="2">
        <v>100000</v>
      </c>
      <c r="L166" t="s">
        <v>7</v>
      </c>
      <c r="M166" t="s">
        <v>9</v>
      </c>
      <c r="N166" t="s">
        <v>9</v>
      </c>
      <c r="O166" t="s">
        <v>9</v>
      </c>
      <c r="P166" t="s">
        <v>9</v>
      </c>
      <c r="Q166" t="s">
        <v>83</v>
      </c>
      <c r="R166" t="str">
        <f t="shared" si="3"/>
        <v>2000081100000039DIPIKA</v>
      </c>
      <c r="S166" t="e">
        <f>VLOOKUP(R166,[2]Sheet1!$R$2:$AX$20,33,0)</f>
        <v>#N/A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s="2">
        <v>0</v>
      </c>
      <c r="Z166" t="s">
        <v>9</v>
      </c>
      <c r="AA166" t="s">
        <v>9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t="s">
        <v>9</v>
      </c>
      <c r="AQ166" t="s">
        <v>9</v>
      </c>
      <c r="AR166" t="s">
        <v>9</v>
      </c>
      <c r="CZ166" t="s">
        <v>85</v>
      </c>
    </row>
    <row r="167" spans="1:104" x14ac:dyDescent="0.25">
      <c r="A167" t="s">
        <v>82</v>
      </c>
      <c r="B167" t="s">
        <v>24</v>
      </c>
      <c r="C167" t="s">
        <v>32</v>
      </c>
      <c r="D167" t="s">
        <v>3</v>
      </c>
      <c r="E167" t="s">
        <v>4</v>
      </c>
      <c r="F167" t="s">
        <v>5</v>
      </c>
      <c r="G167" t="s">
        <v>6</v>
      </c>
      <c r="H167" s="2">
        <v>1000</v>
      </c>
      <c r="I167" s="2">
        <v>1000</v>
      </c>
      <c r="J167" s="2">
        <v>0</v>
      </c>
      <c r="K167" s="2">
        <v>1000</v>
      </c>
      <c r="L167" t="s">
        <v>7</v>
      </c>
      <c r="M167" t="s">
        <v>9</v>
      </c>
      <c r="N167" t="s">
        <v>9</v>
      </c>
      <c r="O167" t="s">
        <v>9</v>
      </c>
      <c r="P167" t="s">
        <v>9</v>
      </c>
      <c r="Q167" t="s">
        <v>83</v>
      </c>
      <c r="R167" t="str">
        <f t="shared" si="3"/>
        <v>2000081100000039DIPIKA</v>
      </c>
      <c r="S167" t="e">
        <f>VLOOKUP(R167,[2]Sheet1!$R$2:$AX$20,33,0)</f>
        <v>#N/A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s="2">
        <v>0</v>
      </c>
      <c r="Z167" t="s">
        <v>9</v>
      </c>
      <c r="AA167" t="s">
        <v>9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t="s">
        <v>9</v>
      </c>
      <c r="AQ167" t="s">
        <v>9</v>
      </c>
      <c r="AR167" t="s">
        <v>9</v>
      </c>
      <c r="CZ167" t="s">
        <v>85</v>
      </c>
    </row>
    <row r="168" spans="1:104" x14ac:dyDescent="0.25">
      <c r="A168" t="s">
        <v>89</v>
      </c>
      <c r="B168" t="s">
        <v>513</v>
      </c>
      <c r="C168" t="s">
        <v>32</v>
      </c>
      <c r="D168" t="s">
        <v>3</v>
      </c>
      <c r="E168" t="s">
        <v>4</v>
      </c>
      <c r="F168" t="s">
        <v>5</v>
      </c>
      <c r="G168" t="s">
        <v>6</v>
      </c>
      <c r="H168" s="2">
        <v>1000</v>
      </c>
      <c r="I168" s="2">
        <v>1000</v>
      </c>
      <c r="J168" s="2">
        <v>0</v>
      </c>
      <c r="K168" s="2">
        <v>1000</v>
      </c>
      <c r="L168" t="s">
        <v>7</v>
      </c>
      <c r="M168" t="s">
        <v>8</v>
      </c>
      <c r="N168" t="s">
        <v>9</v>
      </c>
      <c r="O168" t="s">
        <v>9</v>
      </c>
      <c r="P168" t="s">
        <v>9</v>
      </c>
      <c r="Q168" t="s">
        <v>90</v>
      </c>
      <c r="R168" t="str">
        <f>CONCATENATE(Q168,CZ168,"DIPIKA")</f>
        <v>2000000230000071DIPIKA</v>
      </c>
      <c r="S168">
        <f>VLOOKUP(R168,[2]Sheet1!$R$2:$AX$20,33,0)</f>
        <v>44643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s="2">
        <v>0</v>
      </c>
      <c r="Z168" t="s">
        <v>9</v>
      </c>
      <c r="AA168" t="s">
        <v>9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t="s">
        <v>9</v>
      </c>
      <c r="AQ168" t="s">
        <v>9</v>
      </c>
      <c r="AR168" t="s">
        <v>9</v>
      </c>
      <c r="CZ168" t="s">
        <v>92</v>
      </c>
    </row>
    <row r="169" spans="1:104" x14ac:dyDescent="0.25">
      <c r="A169" t="s">
        <v>89</v>
      </c>
      <c r="B169" t="s">
        <v>513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8000</v>
      </c>
      <c r="I169" s="2">
        <v>8000</v>
      </c>
      <c r="J169" s="2">
        <v>0</v>
      </c>
      <c r="K169" s="2">
        <v>8000</v>
      </c>
      <c r="L169" t="s">
        <v>7</v>
      </c>
      <c r="M169" t="s">
        <v>8</v>
      </c>
      <c r="N169" t="s">
        <v>9</v>
      </c>
      <c r="O169" t="s">
        <v>9</v>
      </c>
      <c r="P169" t="s">
        <v>9</v>
      </c>
      <c r="Q169" t="s">
        <v>90</v>
      </c>
      <c r="R169" t="str">
        <f t="shared" si="3"/>
        <v>2000000230000008DIPIKA</v>
      </c>
      <c r="S169">
        <f>VLOOKUP(R169,[2]Sheet1!$R$2:$AX$20,33,0)</f>
        <v>44640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s="2">
        <v>0</v>
      </c>
      <c r="Z169" t="s">
        <v>9</v>
      </c>
      <c r="AA169" t="s">
        <v>9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t="s">
        <v>9</v>
      </c>
      <c r="AQ169" t="s">
        <v>9</v>
      </c>
      <c r="AR169" t="s">
        <v>9</v>
      </c>
      <c r="CZ169" t="s">
        <v>686</v>
      </c>
    </row>
    <row r="170" spans="1:104" x14ac:dyDescent="0.25">
      <c r="A170" t="s">
        <v>89</v>
      </c>
      <c r="B170" t="s">
        <v>515</v>
      </c>
      <c r="C170" t="s">
        <v>32</v>
      </c>
      <c r="D170" t="s">
        <v>3</v>
      </c>
      <c r="E170" t="s">
        <v>4</v>
      </c>
      <c r="F170" t="s">
        <v>5</v>
      </c>
      <c r="G170" t="s">
        <v>6</v>
      </c>
      <c r="H170" s="2">
        <v>5000</v>
      </c>
      <c r="I170" s="2">
        <v>5000</v>
      </c>
      <c r="J170" s="2">
        <v>0</v>
      </c>
      <c r="K170" s="2">
        <v>5000</v>
      </c>
      <c r="L170" t="s">
        <v>7</v>
      </c>
      <c r="M170" t="s">
        <v>8</v>
      </c>
      <c r="N170" t="s">
        <v>9</v>
      </c>
      <c r="O170" t="s">
        <v>9</v>
      </c>
      <c r="P170" t="s">
        <v>9</v>
      </c>
      <c r="Q170" t="s">
        <v>90</v>
      </c>
      <c r="R170" t="str">
        <f t="shared" si="3"/>
        <v>2000000230000008DIPIKA</v>
      </c>
      <c r="S170">
        <f>VLOOKUP(R170,[2]Sheet1!$R$2:$AX$20,33,0)</f>
        <v>44640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s="2">
        <v>0</v>
      </c>
      <c r="Z170" t="s">
        <v>9</v>
      </c>
      <c r="AA170" t="s">
        <v>9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t="s">
        <v>9</v>
      </c>
      <c r="AQ170" t="s">
        <v>9</v>
      </c>
      <c r="AR170" t="s">
        <v>9</v>
      </c>
      <c r="CZ170" t="s">
        <v>686</v>
      </c>
    </row>
    <row r="171" spans="1:104" x14ac:dyDescent="0.25">
      <c r="A171" t="s">
        <v>89</v>
      </c>
      <c r="B171" t="s">
        <v>515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9000</v>
      </c>
      <c r="I171" s="2">
        <v>9000</v>
      </c>
      <c r="J171" s="2">
        <v>0</v>
      </c>
      <c r="K171" s="2">
        <v>9000</v>
      </c>
      <c r="L171" t="s">
        <v>7</v>
      </c>
      <c r="M171" t="s">
        <v>8</v>
      </c>
      <c r="N171" t="s">
        <v>9</v>
      </c>
      <c r="O171" t="s">
        <v>9</v>
      </c>
      <c r="P171" t="s">
        <v>9</v>
      </c>
      <c r="Q171" t="s">
        <v>90</v>
      </c>
      <c r="R171" t="str">
        <f t="shared" si="3"/>
        <v>2000000230000008DIPIKA</v>
      </c>
      <c r="S171">
        <f>VLOOKUP(R171,[2]Sheet1!$R$2:$AX$20,33,0)</f>
        <v>44640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s="2">
        <v>0</v>
      </c>
      <c r="Z171" t="s">
        <v>9</v>
      </c>
      <c r="AA171" t="s">
        <v>9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t="s">
        <v>9</v>
      </c>
      <c r="AQ171" t="s">
        <v>9</v>
      </c>
      <c r="AR171" t="s">
        <v>9</v>
      </c>
      <c r="CZ171" t="s">
        <v>686</v>
      </c>
    </row>
    <row r="172" spans="1:104" x14ac:dyDescent="0.25">
      <c r="A172" t="s">
        <v>89</v>
      </c>
      <c r="B172" t="s">
        <v>516</v>
      </c>
      <c r="C172" t="s">
        <v>32</v>
      </c>
      <c r="D172" t="s">
        <v>3</v>
      </c>
      <c r="E172" t="s">
        <v>4</v>
      </c>
      <c r="F172" t="s">
        <v>5</v>
      </c>
      <c r="G172" t="s">
        <v>6</v>
      </c>
      <c r="H172" s="2">
        <v>5000</v>
      </c>
      <c r="I172" s="2">
        <v>5000</v>
      </c>
      <c r="J172" s="2">
        <v>0</v>
      </c>
      <c r="K172" s="2">
        <v>5000</v>
      </c>
      <c r="L172" t="s">
        <v>7</v>
      </c>
      <c r="M172" t="s">
        <v>8</v>
      </c>
      <c r="N172" t="s">
        <v>9</v>
      </c>
      <c r="O172" t="s">
        <v>9</v>
      </c>
      <c r="P172" t="s">
        <v>9</v>
      </c>
      <c r="Q172" t="s">
        <v>90</v>
      </c>
      <c r="R172" t="str">
        <f t="shared" si="3"/>
        <v>2000000230000008DIPIKA</v>
      </c>
      <c r="S172">
        <f>VLOOKUP(R172,[2]Sheet1!$R$2:$AX$20,33,0)</f>
        <v>44640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s="2">
        <v>0</v>
      </c>
      <c r="Z172" t="s">
        <v>9</v>
      </c>
      <c r="AA172" t="s">
        <v>9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t="s">
        <v>9</v>
      </c>
      <c r="AQ172" t="s">
        <v>9</v>
      </c>
      <c r="AR172" t="s">
        <v>9</v>
      </c>
      <c r="CZ172" t="s">
        <v>686</v>
      </c>
    </row>
    <row r="173" spans="1:104" x14ac:dyDescent="0.25">
      <c r="A173" t="s">
        <v>89</v>
      </c>
      <c r="B173" t="s">
        <v>516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7000</v>
      </c>
      <c r="I173" s="2">
        <v>7000</v>
      </c>
      <c r="J173" s="2">
        <v>0</v>
      </c>
      <c r="K173" s="2">
        <v>7000</v>
      </c>
      <c r="L173" t="s">
        <v>7</v>
      </c>
      <c r="M173" t="s">
        <v>8</v>
      </c>
      <c r="N173" t="s">
        <v>9</v>
      </c>
      <c r="O173" t="s">
        <v>9</v>
      </c>
      <c r="P173" t="s">
        <v>9</v>
      </c>
      <c r="Q173" t="s">
        <v>90</v>
      </c>
      <c r="R173" t="str">
        <f t="shared" si="3"/>
        <v>2000000230000008DIPIKA</v>
      </c>
      <c r="S173">
        <f>VLOOKUP(R173,[2]Sheet1!$R$2:$AX$20,33,0)</f>
        <v>44640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s="2">
        <v>0</v>
      </c>
      <c r="Z173" t="s">
        <v>9</v>
      </c>
      <c r="AA173" t="s">
        <v>9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t="s">
        <v>9</v>
      </c>
      <c r="AQ173" t="s">
        <v>9</v>
      </c>
      <c r="AR173" t="s">
        <v>9</v>
      </c>
      <c r="CZ173" t="s">
        <v>686</v>
      </c>
    </row>
    <row r="174" spans="1:104" x14ac:dyDescent="0.25">
      <c r="A174" t="s">
        <v>89</v>
      </c>
      <c r="B174" t="s">
        <v>24</v>
      </c>
      <c r="C174" t="s">
        <v>32</v>
      </c>
      <c r="D174" t="s">
        <v>3</v>
      </c>
      <c r="E174" t="s">
        <v>4</v>
      </c>
      <c r="F174" t="s">
        <v>5</v>
      </c>
      <c r="G174" t="s">
        <v>6</v>
      </c>
      <c r="H174" s="2">
        <v>21000</v>
      </c>
      <c r="I174" s="2">
        <v>21000</v>
      </c>
      <c r="J174" s="2">
        <v>0</v>
      </c>
      <c r="K174" s="2">
        <v>21000</v>
      </c>
      <c r="L174" t="s">
        <v>7</v>
      </c>
      <c r="M174" t="s">
        <v>9</v>
      </c>
      <c r="N174" t="s">
        <v>9</v>
      </c>
      <c r="O174" t="s">
        <v>9</v>
      </c>
      <c r="P174" t="s">
        <v>9</v>
      </c>
      <c r="Q174" t="s">
        <v>90</v>
      </c>
      <c r="R174" t="str">
        <f t="shared" si="3"/>
        <v>2000000230000071DIPIKA</v>
      </c>
      <c r="S174">
        <f>VLOOKUP(R174,[2]Sheet1!$R$2:$AX$20,33,0)</f>
        <v>44643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s="2">
        <v>0</v>
      </c>
      <c r="Z174" t="s">
        <v>9</v>
      </c>
      <c r="AA174" t="s">
        <v>9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t="s">
        <v>9</v>
      </c>
      <c r="AQ174" t="s">
        <v>9</v>
      </c>
      <c r="AR174" t="s">
        <v>9</v>
      </c>
      <c r="CZ174" t="s">
        <v>92</v>
      </c>
    </row>
    <row r="175" spans="1:104" x14ac:dyDescent="0.25">
      <c r="A175" t="s">
        <v>89</v>
      </c>
      <c r="B175" t="s">
        <v>518</v>
      </c>
      <c r="C175" t="s">
        <v>32</v>
      </c>
      <c r="D175" t="s">
        <v>3</v>
      </c>
      <c r="E175" t="s">
        <v>4</v>
      </c>
      <c r="F175" t="s">
        <v>5</v>
      </c>
      <c r="G175" t="s">
        <v>6</v>
      </c>
      <c r="H175" s="2">
        <v>3000</v>
      </c>
      <c r="I175" s="2">
        <v>3000</v>
      </c>
      <c r="J175" s="2">
        <v>0</v>
      </c>
      <c r="K175" s="2">
        <v>3000</v>
      </c>
      <c r="L175" t="s">
        <v>7</v>
      </c>
      <c r="M175" t="s">
        <v>9</v>
      </c>
      <c r="N175" t="s">
        <v>9</v>
      </c>
      <c r="O175" t="s">
        <v>9</v>
      </c>
      <c r="P175" t="s">
        <v>9</v>
      </c>
      <c r="Q175" t="s">
        <v>90</v>
      </c>
      <c r="R175" t="str">
        <f t="shared" si="3"/>
        <v>2000000230000071DIPIKA</v>
      </c>
      <c r="S175">
        <f>VLOOKUP(R175,[2]Sheet1!$R$2:$AX$20,33,0)</f>
        <v>44643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s="2">
        <v>0</v>
      </c>
      <c r="Z175" t="s">
        <v>9</v>
      </c>
      <c r="AA175" t="s">
        <v>9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t="s">
        <v>9</v>
      </c>
      <c r="AQ175" t="s">
        <v>9</v>
      </c>
      <c r="AR175" t="s">
        <v>9</v>
      </c>
      <c r="CZ175" t="s">
        <v>92</v>
      </c>
    </row>
    <row r="176" spans="1:104" x14ac:dyDescent="0.25">
      <c r="A176" t="s">
        <v>89</v>
      </c>
      <c r="B176" t="s">
        <v>518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100</v>
      </c>
      <c r="I176" s="2">
        <v>100</v>
      </c>
      <c r="J176" s="2">
        <v>0</v>
      </c>
      <c r="K176" s="2">
        <v>100</v>
      </c>
      <c r="L176" t="s">
        <v>7</v>
      </c>
      <c r="M176" t="s">
        <v>8</v>
      </c>
      <c r="N176" t="s">
        <v>9</v>
      </c>
      <c r="O176" t="s">
        <v>9</v>
      </c>
      <c r="P176" t="s">
        <v>9</v>
      </c>
      <c r="Q176" t="s">
        <v>90</v>
      </c>
      <c r="R176" t="str">
        <f t="shared" si="3"/>
        <v>2000000230000071DIPIKA</v>
      </c>
      <c r="S176">
        <f>VLOOKUP(R176,[2]Sheet1!$R$2:$AX$20,33,0)</f>
        <v>44643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s="2">
        <v>0</v>
      </c>
      <c r="Z176" t="s">
        <v>9</v>
      </c>
      <c r="AA176" t="s">
        <v>9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t="s">
        <v>9</v>
      </c>
      <c r="AQ176" t="s">
        <v>9</v>
      </c>
      <c r="AR176" t="s">
        <v>9</v>
      </c>
      <c r="CZ176" t="s">
        <v>92</v>
      </c>
    </row>
    <row r="177" spans="1:104" x14ac:dyDescent="0.25">
      <c r="A177" t="s">
        <v>89</v>
      </c>
      <c r="B177" t="s">
        <v>519</v>
      </c>
      <c r="C177" t="s">
        <v>32</v>
      </c>
      <c r="D177" t="s">
        <v>3</v>
      </c>
      <c r="E177" t="s">
        <v>4</v>
      </c>
      <c r="F177" t="s">
        <v>5</v>
      </c>
      <c r="G177" t="s">
        <v>6</v>
      </c>
      <c r="H177" s="2">
        <v>50000</v>
      </c>
      <c r="I177" s="2">
        <v>50000</v>
      </c>
      <c r="J177" s="2">
        <v>0</v>
      </c>
      <c r="K177" s="2">
        <v>50000</v>
      </c>
      <c r="L177" t="s">
        <v>7</v>
      </c>
      <c r="M177" t="s">
        <v>8</v>
      </c>
      <c r="N177" t="s">
        <v>9</v>
      </c>
      <c r="O177" t="s">
        <v>9</v>
      </c>
      <c r="P177" t="s">
        <v>9</v>
      </c>
      <c r="Q177" t="s">
        <v>90</v>
      </c>
      <c r="R177" t="str">
        <f t="shared" si="3"/>
        <v>2000000230000008DIPIKA</v>
      </c>
      <c r="S177">
        <f>VLOOKUP(R177,[2]Sheet1!$R$2:$AX$20,33,0)</f>
        <v>44640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s="2">
        <v>0</v>
      </c>
      <c r="Z177" t="s">
        <v>9</v>
      </c>
      <c r="AA177" t="s">
        <v>9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t="s">
        <v>9</v>
      </c>
      <c r="AQ177" t="s">
        <v>9</v>
      </c>
      <c r="AR177" t="s">
        <v>9</v>
      </c>
      <c r="CZ177" t="s">
        <v>686</v>
      </c>
    </row>
    <row r="178" spans="1:104" x14ac:dyDescent="0.25">
      <c r="A178" t="s">
        <v>89</v>
      </c>
      <c r="B178" t="s">
        <v>519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100</v>
      </c>
      <c r="I178" s="2">
        <v>100</v>
      </c>
      <c r="J178" s="2">
        <v>0</v>
      </c>
      <c r="K178" s="2">
        <v>100</v>
      </c>
      <c r="L178" t="s">
        <v>7</v>
      </c>
      <c r="M178" t="s">
        <v>8</v>
      </c>
      <c r="N178" t="s">
        <v>9</v>
      </c>
      <c r="O178" t="s">
        <v>9</v>
      </c>
      <c r="P178" t="s">
        <v>9</v>
      </c>
      <c r="Q178" t="s">
        <v>90</v>
      </c>
      <c r="R178" t="str">
        <f t="shared" si="3"/>
        <v>2000000230000008DIPIKA</v>
      </c>
      <c r="S178">
        <f>VLOOKUP(R178,[2]Sheet1!$R$2:$AX$20,33,0)</f>
        <v>44640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s="2">
        <v>0</v>
      </c>
      <c r="Z178" t="s">
        <v>9</v>
      </c>
      <c r="AA178" t="s">
        <v>9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t="s">
        <v>9</v>
      </c>
      <c r="AQ178" t="s">
        <v>9</v>
      </c>
      <c r="AR178" t="s">
        <v>9</v>
      </c>
      <c r="CZ178" t="s">
        <v>686</v>
      </c>
    </row>
    <row r="179" spans="1:104" x14ac:dyDescent="0.25">
      <c r="A179" t="s">
        <v>89</v>
      </c>
      <c r="B179" t="s">
        <v>520</v>
      </c>
      <c r="C179" t="s">
        <v>32</v>
      </c>
      <c r="D179" t="s">
        <v>3</v>
      </c>
      <c r="E179" t="s">
        <v>4</v>
      </c>
      <c r="F179" t="s">
        <v>5</v>
      </c>
      <c r="G179" t="s">
        <v>6</v>
      </c>
      <c r="H179" s="2">
        <v>3000</v>
      </c>
      <c r="I179" s="2">
        <v>3000</v>
      </c>
      <c r="J179" s="2">
        <v>0</v>
      </c>
      <c r="K179" s="2">
        <v>3000</v>
      </c>
      <c r="L179" t="s">
        <v>7</v>
      </c>
      <c r="M179" t="s">
        <v>8</v>
      </c>
      <c r="N179" t="s">
        <v>9</v>
      </c>
      <c r="O179" t="s">
        <v>9</v>
      </c>
      <c r="P179" t="s">
        <v>9</v>
      </c>
      <c r="Q179" t="s">
        <v>90</v>
      </c>
      <c r="R179" t="str">
        <f t="shared" si="3"/>
        <v>2000000230000008DIPIKA</v>
      </c>
      <c r="S179">
        <f>VLOOKUP(R179,[2]Sheet1!$R$2:$AX$20,33,0)</f>
        <v>44640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s="2">
        <v>0</v>
      </c>
      <c r="Z179" t="s">
        <v>9</v>
      </c>
      <c r="AA179" t="s">
        <v>9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t="s">
        <v>9</v>
      </c>
      <c r="AQ179" t="s">
        <v>9</v>
      </c>
      <c r="AR179" t="s">
        <v>9</v>
      </c>
      <c r="CZ179" t="s">
        <v>686</v>
      </c>
    </row>
    <row r="180" spans="1:104" x14ac:dyDescent="0.25">
      <c r="A180" t="s">
        <v>89</v>
      </c>
      <c r="B180" t="s">
        <v>520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1000</v>
      </c>
      <c r="I180" s="2">
        <v>1000</v>
      </c>
      <c r="J180" s="2">
        <v>0</v>
      </c>
      <c r="K180" s="2">
        <v>1000</v>
      </c>
      <c r="L180" t="s">
        <v>7</v>
      </c>
      <c r="M180" t="s">
        <v>8</v>
      </c>
      <c r="N180" t="s">
        <v>9</v>
      </c>
      <c r="O180" t="s">
        <v>9</v>
      </c>
      <c r="P180" t="s">
        <v>9</v>
      </c>
      <c r="Q180" t="s">
        <v>90</v>
      </c>
      <c r="R180" t="str">
        <f t="shared" si="3"/>
        <v>200000014422DIPIKA</v>
      </c>
      <c r="S180" t="e">
        <f>VLOOKUP(R180,[2]Sheet1!$R$2:$AX$20,33,0)</f>
        <v>#N/A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s="2">
        <v>0</v>
      </c>
      <c r="Z180" t="s">
        <v>9</v>
      </c>
      <c r="AA180" t="s">
        <v>9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t="s">
        <v>9</v>
      </c>
      <c r="AQ180" t="s">
        <v>9</v>
      </c>
      <c r="AR180" t="s">
        <v>9</v>
      </c>
      <c r="CZ180" t="s">
        <v>687</v>
      </c>
    </row>
    <row r="181" spans="1:104" x14ac:dyDescent="0.25">
      <c r="A181" t="s">
        <v>89</v>
      </c>
      <c r="B181" t="s">
        <v>522</v>
      </c>
      <c r="C181" t="s">
        <v>32</v>
      </c>
      <c r="D181" t="s">
        <v>3</v>
      </c>
      <c r="E181" t="s">
        <v>4</v>
      </c>
      <c r="F181" t="s">
        <v>5</v>
      </c>
      <c r="G181" t="s">
        <v>6</v>
      </c>
      <c r="H181" s="2">
        <v>60000</v>
      </c>
      <c r="I181" s="2">
        <v>60000</v>
      </c>
      <c r="J181" s="2">
        <v>0</v>
      </c>
      <c r="K181" s="2">
        <v>60000</v>
      </c>
      <c r="L181" t="s">
        <v>7</v>
      </c>
      <c r="M181" t="s">
        <v>8</v>
      </c>
      <c r="N181" t="s">
        <v>9</v>
      </c>
      <c r="O181" t="s">
        <v>9</v>
      </c>
      <c r="P181" t="s">
        <v>9</v>
      </c>
      <c r="Q181" t="s">
        <v>90</v>
      </c>
      <c r="R181" t="str">
        <f t="shared" si="3"/>
        <v>2000000230000008DIPIKA</v>
      </c>
      <c r="S181">
        <f>VLOOKUP(R181,[2]Sheet1!$R$2:$AX$20,33,0)</f>
        <v>44640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s="2">
        <v>0</v>
      </c>
      <c r="Z181" t="s">
        <v>9</v>
      </c>
      <c r="AA181" t="s">
        <v>9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t="s">
        <v>9</v>
      </c>
      <c r="AQ181" t="s">
        <v>9</v>
      </c>
      <c r="AR181" t="s">
        <v>9</v>
      </c>
      <c r="CZ181" t="s">
        <v>686</v>
      </c>
    </row>
    <row r="182" spans="1:104" x14ac:dyDescent="0.25">
      <c r="A182" t="s">
        <v>89</v>
      </c>
      <c r="B182" t="s">
        <v>522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15675</v>
      </c>
      <c r="I182" s="2">
        <v>15675</v>
      </c>
      <c r="J182" s="2">
        <v>0</v>
      </c>
      <c r="K182" s="2">
        <v>15675</v>
      </c>
      <c r="L182" t="s">
        <v>7</v>
      </c>
      <c r="M182" t="s">
        <v>8</v>
      </c>
      <c r="N182" t="s">
        <v>9</v>
      </c>
      <c r="O182" t="s">
        <v>9</v>
      </c>
      <c r="P182" t="s">
        <v>9</v>
      </c>
      <c r="Q182" t="s">
        <v>90</v>
      </c>
      <c r="R182" t="str">
        <f t="shared" si="3"/>
        <v>200000014422DIPIKA</v>
      </c>
      <c r="S182" t="e">
        <f>VLOOKUP(R182,[2]Sheet1!$R$2:$AX$20,33,0)</f>
        <v>#N/A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s="2">
        <v>0</v>
      </c>
      <c r="Z182" t="s">
        <v>9</v>
      </c>
      <c r="AA182" t="s">
        <v>9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t="s">
        <v>9</v>
      </c>
      <c r="AQ182" t="s">
        <v>9</v>
      </c>
      <c r="AR182" t="s">
        <v>9</v>
      </c>
      <c r="CZ182" t="s">
        <v>687</v>
      </c>
    </row>
    <row r="183" spans="1:104" x14ac:dyDescent="0.25">
      <c r="A183" t="s">
        <v>89</v>
      </c>
      <c r="B183" t="s">
        <v>523</v>
      </c>
      <c r="C183" t="s">
        <v>32</v>
      </c>
      <c r="D183" t="s">
        <v>3</v>
      </c>
      <c r="E183" t="s">
        <v>4</v>
      </c>
      <c r="F183" t="s">
        <v>5</v>
      </c>
      <c r="G183" t="s">
        <v>6</v>
      </c>
      <c r="H183" s="2">
        <v>12000</v>
      </c>
      <c r="I183" s="2">
        <v>12000</v>
      </c>
      <c r="J183" s="2">
        <v>0</v>
      </c>
      <c r="K183" s="2">
        <v>12000</v>
      </c>
      <c r="L183" t="s">
        <v>7</v>
      </c>
      <c r="M183" t="s">
        <v>8</v>
      </c>
      <c r="N183" t="s">
        <v>9</v>
      </c>
      <c r="O183" t="s">
        <v>9</v>
      </c>
      <c r="P183" t="s">
        <v>9</v>
      </c>
      <c r="Q183" t="s">
        <v>90</v>
      </c>
      <c r="R183" t="str">
        <f t="shared" si="3"/>
        <v>2000000230000008DIPIKA</v>
      </c>
      <c r="S183">
        <f>VLOOKUP(R183,[2]Sheet1!$R$2:$AX$20,33,0)</f>
        <v>44640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s="2">
        <v>0</v>
      </c>
      <c r="Z183" t="s">
        <v>9</v>
      </c>
      <c r="AA183" t="s">
        <v>9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t="s">
        <v>9</v>
      </c>
      <c r="AQ183" t="s">
        <v>9</v>
      </c>
      <c r="AR183" t="s">
        <v>9</v>
      </c>
      <c r="CZ183" t="s">
        <v>686</v>
      </c>
    </row>
    <row r="184" spans="1:104" x14ac:dyDescent="0.25">
      <c r="A184" t="s">
        <v>89</v>
      </c>
      <c r="B184" t="s">
        <v>523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15675</v>
      </c>
      <c r="I184" s="2">
        <v>15675</v>
      </c>
      <c r="J184" s="2">
        <v>0</v>
      </c>
      <c r="K184" s="2">
        <v>15675</v>
      </c>
      <c r="L184" t="s">
        <v>7</v>
      </c>
      <c r="M184" t="s">
        <v>9</v>
      </c>
      <c r="N184" t="s">
        <v>9</v>
      </c>
      <c r="O184" t="s">
        <v>9</v>
      </c>
      <c r="P184" t="s">
        <v>9</v>
      </c>
      <c r="Q184" t="s">
        <v>90</v>
      </c>
      <c r="R184" t="str">
        <f t="shared" si="3"/>
        <v>200000014422DIPIKA</v>
      </c>
      <c r="S184" t="e">
        <f>VLOOKUP(R184,[2]Sheet1!$R$2:$AX$20,33,0)</f>
        <v>#N/A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s="2">
        <v>0</v>
      </c>
      <c r="Z184" t="s">
        <v>9</v>
      </c>
      <c r="AA184" t="s">
        <v>9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t="s">
        <v>9</v>
      </c>
      <c r="AQ184" t="s">
        <v>9</v>
      </c>
      <c r="AR184" t="s">
        <v>9</v>
      </c>
      <c r="CZ184" t="s">
        <v>687</v>
      </c>
    </row>
    <row r="185" spans="1:104" x14ac:dyDescent="0.25">
      <c r="A185" t="s">
        <v>89</v>
      </c>
      <c r="B185" t="s">
        <v>524</v>
      </c>
      <c r="C185" t="s">
        <v>32</v>
      </c>
      <c r="D185" t="s">
        <v>3</v>
      </c>
      <c r="E185" t="s">
        <v>4</v>
      </c>
      <c r="F185" t="s">
        <v>5</v>
      </c>
      <c r="G185" t="s">
        <v>6</v>
      </c>
      <c r="H185" s="2">
        <v>13000</v>
      </c>
      <c r="I185" s="2">
        <v>13000</v>
      </c>
      <c r="J185" s="2">
        <v>0</v>
      </c>
      <c r="K185" s="2">
        <v>13000</v>
      </c>
      <c r="L185" t="s">
        <v>7</v>
      </c>
      <c r="M185" t="s">
        <v>8</v>
      </c>
      <c r="N185" t="s">
        <v>9</v>
      </c>
      <c r="O185" t="s">
        <v>9</v>
      </c>
      <c r="P185" t="s">
        <v>9</v>
      </c>
      <c r="Q185" t="s">
        <v>90</v>
      </c>
      <c r="R185" t="str">
        <f t="shared" si="3"/>
        <v>2000000230000008DIPIKA</v>
      </c>
      <c r="S185">
        <f>VLOOKUP(R185,[2]Sheet1!$R$2:$AX$20,33,0)</f>
        <v>44640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s="2">
        <v>0</v>
      </c>
      <c r="Z185" t="s">
        <v>9</v>
      </c>
      <c r="AA185" t="s">
        <v>9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t="s">
        <v>9</v>
      </c>
      <c r="AQ185" t="s">
        <v>9</v>
      </c>
      <c r="AR185" t="s">
        <v>9</v>
      </c>
      <c r="CZ185" t="s">
        <v>686</v>
      </c>
    </row>
    <row r="186" spans="1:104" x14ac:dyDescent="0.25">
      <c r="A186" t="s">
        <v>89</v>
      </c>
      <c r="B186" t="s">
        <v>524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15675</v>
      </c>
      <c r="I186" s="2">
        <v>15675</v>
      </c>
      <c r="J186" s="2">
        <v>0</v>
      </c>
      <c r="K186" s="2">
        <v>15675</v>
      </c>
      <c r="L186" t="s">
        <v>7</v>
      </c>
      <c r="M186" t="s">
        <v>9</v>
      </c>
      <c r="N186" t="s">
        <v>9</v>
      </c>
      <c r="O186" t="s">
        <v>9</v>
      </c>
      <c r="P186" t="s">
        <v>9</v>
      </c>
      <c r="Q186" t="s">
        <v>90</v>
      </c>
      <c r="R186" t="str">
        <f t="shared" si="3"/>
        <v>200000014422DIPIKA</v>
      </c>
      <c r="S186" t="e">
        <f>VLOOKUP(R186,[2]Sheet1!$R$2:$AX$20,33,0)</f>
        <v>#N/A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s="2">
        <v>0</v>
      </c>
      <c r="Z186" t="s">
        <v>9</v>
      </c>
      <c r="AA186" t="s">
        <v>9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t="s">
        <v>9</v>
      </c>
      <c r="AQ186" t="s">
        <v>9</v>
      </c>
      <c r="AR186" t="s">
        <v>9</v>
      </c>
      <c r="CZ186" t="s">
        <v>687</v>
      </c>
    </row>
    <row r="187" spans="1:104" x14ac:dyDescent="0.25">
      <c r="A187" t="s">
        <v>89</v>
      </c>
      <c r="B187" t="s">
        <v>525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10000</v>
      </c>
      <c r="I187" s="2">
        <v>10000</v>
      </c>
      <c r="J187" s="2">
        <v>0</v>
      </c>
      <c r="K187" s="2">
        <v>10000</v>
      </c>
      <c r="L187" t="s">
        <v>7</v>
      </c>
      <c r="M187" t="s">
        <v>8</v>
      </c>
      <c r="N187" t="s">
        <v>9</v>
      </c>
      <c r="O187" t="s">
        <v>9</v>
      </c>
      <c r="P187" t="s">
        <v>9</v>
      </c>
      <c r="Q187" t="s">
        <v>90</v>
      </c>
      <c r="R187" t="str">
        <f t="shared" si="3"/>
        <v>2000000230000008DIPIKA</v>
      </c>
      <c r="S187">
        <f>VLOOKUP(R187,[2]Sheet1!$R$2:$AX$20,33,0)</f>
        <v>44640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s="2">
        <v>0</v>
      </c>
      <c r="Z187" t="s">
        <v>9</v>
      </c>
      <c r="AA187" t="s">
        <v>9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t="s">
        <v>9</v>
      </c>
      <c r="AQ187" t="s">
        <v>9</v>
      </c>
      <c r="AR187" t="s">
        <v>9</v>
      </c>
      <c r="CZ187" t="s">
        <v>686</v>
      </c>
    </row>
    <row r="188" spans="1:104" x14ac:dyDescent="0.25">
      <c r="A188" t="s">
        <v>89</v>
      </c>
      <c r="B188" t="s">
        <v>526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54000</v>
      </c>
      <c r="I188" s="2">
        <v>54000</v>
      </c>
      <c r="J188" s="2">
        <v>0</v>
      </c>
      <c r="K188" s="2">
        <v>54000</v>
      </c>
      <c r="L188" t="s">
        <v>7</v>
      </c>
      <c r="M188" t="s">
        <v>8</v>
      </c>
      <c r="N188" t="s">
        <v>9</v>
      </c>
      <c r="O188" t="s">
        <v>9</v>
      </c>
      <c r="P188" t="s">
        <v>9</v>
      </c>
      <c r="Q188" t="s">
        <v>90</v>
      </c>
      <c r="R188" t="str">
        <f t="shared" si="3"/>
        <v>2000000230000008DIPIKA</v>
      </c>
      <c r="S188">
        <f>VLOOKUP(R188,[2]Sheet1!$R$2:$AX$20,33,0)</f>
        <v>44640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s="2">
        <v>0</v>
      </c>
      <c r="Z188" t="s">
        <v>9</v>
      </c>
      <c r="AA188" t="s">
        <v>9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t="s">
        <v>9</v>
      </c>
      <c r="AQ188" t="s">
        <v>9</v>
      </c>
      <c r="AR188" t="s">
        <v>9</v>
      </c>
      <c r="CZ188" t="s">
        <v>686</v>
      </c>
    </row>
    <row r="189" spans="1:104" x14ac:dyDescent="0.25">
      <c r="A189" t="s">
        <v>98</v>
      </c>
      <c r="B189" t="s">
        <v>513</v>
      </c>
      <c r="C189" t="s">
        <v>99</v>
      </c>
      <c r="D189" t="s">
        <v>3</v>
      </c>
      <c r="E189" t="s">
        <v>4</v>
      </c>
      <c r="F189" t="s">
        <v>5</v>
      </c>
      <c r="G189" t="s">
        <v>6</v>
      </c>
      <c r="H189" s="2">
        <v>40000</v>
      </c>
      <c r="I189" s="2">
        <v>40000</v>
      </c>
      <c r="J189" s="2">
        <v>0</v>
      </c>
      <c r="K189" s="2">
        <v>40000</v>
      </c>
      <c r="L189" t="s">
        <v>7</v>
      </c>
      <c r="M189" t="s">
        <v>8</v>
      </c>
      <c r="N189" t="s">
        <v>9</v>
      </c>
      <c r="O189" t="s">
        <v>9</v>
      </c>
      <c r="P189" t="s">
        <v>9</v>
      </c>
      <c r="Q189" t="s">
        <v>101</v>
      </c>
      <c r="R189" t="str">
        <f t="shared" si="3"/>
        <v>10000001100000020DIPIKA</v>
      </c>
      <c r="S189" t="e">
        <f>VLOOKUP(R189,[2]Sheet1!$R$2:$AX$20,33,0)</f>
        <v>#N/A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s="2">
        <v>0</v>
      </c>
      <c r="Z189" t="s">
        <v>9</v>
      </c>
      <c r="AA189" t="s">
        <v>9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t="s">
        <v>9</v>
      </c>
      <c r="AQ189" t="s">
        <v>9</v>
      </c>
      <c r="AR189" t="s">
        <v>9</v>
      </c>
      <c r="CZ189" t="s">
        <v>103</v>
      </c>
    </row>
    <row r="190" spans="1:104" x14ac:dyDescent="0.25">
      <c r="A190" t="s">
        <v>98</v>
      </c>
      <c r="B190" t="s">
        <v>515</v>
      </c>
      <c r="C190" t="s">
        <v>99</v>
      </c>
      <c r="D190" t="s">
        <v>3</v>
      </c>
      <c r="E190" t="s">
        <v>4</v>
      </c>
      <c r="F190" t="s">
        <v>5</v>
      </c>
      <c r="G190" t="s">
        <v>6</v>
      </c>
      <c r="H190" s="2">
        <v>2000</v>
      </c>
      <c r="I190" s="2">
        <v>2000</v>
      </c>
      <c r="J190" s="2">
        <v>0</v>
      </c>
      <c r="K190" s="2">
        <v>2000</v>
      </c>
      <c r="L190" t="s">
        <v>7</v>
      </c>
      <c r="M190" t="s">
        <v>8</v>
      </c>
      <c r="N190" t="s">
        <v>9</v>
      </c>
      <c r="O190" t="s">
        <v>9</v>
      </c>
      <c r="P190" t="s">
        <v>9</v>
      </c>
      <c r="Q190" t="s">
        <v>101</v>
      </c>
      <c r="R190" t="str">
        <f t="shared" si="3"/>
        <v>10000001100000020DIPIKA</v>
      </c>
      <c r="S190" t="e">
        <f>VLOOKUP(R190,[2]Sheet1!$R$2:$AX$20,33,0)</f>
        <v>#N/A</v>
      </c>
      <c r="T190" t="s">
        <v>9</v>
      </c>
      <c r="U190" t="s">
        <v>9</v>
      </c>
      <c r="V190" t="s">
        <v>9</v>
      </c>
      <c r="W190" t="s">
        <v>9</v>
      </c>
      <c r="X190" t="s">
        <v>9</v>
      </c>
      <c r="Y190" s="2">
        <v>0</v>
      </c>
      <c r="Z190" t="s">
        <v>9</v>
      </c>
      <c r="AA190" t="s">
        <v>9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t="s">
        <v>9</v>
      </c>
      <c r="AQ190" t="s">
        <v>9</v>
      </c>
      <c r="AR190" t="s">
        <v>9</v>
      </c>
      <c r="CZ190" t="s">
        <v>103</v>
      </c>
    </row>
    <row r="191" spans="1:104" x14ac:dyDescent="0.25">
      <c r="A191" t="s">
        <v>98</v>
      </c>
      <c r="B191" t="s">
        <v>516</v>
      </c>
      <c r="C191" t="s">
        <v>99</v>
      </c>
      <c r="D191" t="s">
        <v>3</v>
      </c>
      <c r="E191" t="s">
        <v>4</v>
      </c>
      <c r="F191" t="s">
        <v>5</v>
      </c>
      <c r="G191" t="s">
        <v>6</v>
      </c>
      <c r="H191" s="2">
        <v>3000</v>
      </c>
      <c r="I191" s="2">
        <v>3000</v>
      </c>
      <c r="J191" s="2">
        <v>0</v>
      </c>
      <c r="K191" s="2">
        <v>3000</v>
      </c>
      <c r="L191" t="s">
        <v>7</v>
      </c>
      <c r="M191" t="s">
        <v>8</v>
      </c>
      <c r="N191" t="s">
        <v>630</v>
      </c>
      <c r="O191" t="s">
        <v>9</v>
      </c>
      <c r="P191" t="s">
        <v>9</v>
      </c>
      <c r="Q191" t="s">
        <v>101</v>
      </c>
      <c r="R191" t="str">
        <f t="shared" si="3"/>
        <v>10000001100000020DIPIKA</v>
      </c>
      <c r="S191" t="e">
        <f>VLOOKUP(R191,[2]Sheet1!$R$2:$AX$20,33,0)</f>
        <v>#N/A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s="2">
        <v>0</v>
      </c>
      <c r="Z191" t="s">
        <v>9</v>
      </c>
      <c r="AA191" t="s">
        <v>9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t="s">
        <v>9</v>
      </c>
      <c r="AQ191" t="s">
        <v>9</v>
      </c>
      <c r="AR191" t="s">
        <v>9</v>
      </c>
      <c r="CZ191" t="s">
        <v>103</v>
      </c>
    </row>
    <row r="192" spans="1:104" x14ac:dyDescent="0.25">
      <c r="A192" t="s">
        <v>98</v>
      </c>
      <c r="B192" t="s">
        <v>24</v>
      </c>
      <c r="C192" t="s">
        <v>99</v>
      </c>
      <c r="D192" t="s">
        <v>3</v>
      </c>
      <c r="E192" t="s">
        <v>4</v>
      </c>
      <c r="F192" t="s">
        <v>5</v>
      </c>
      <c r="G192" t="s">
        <v>6</v>
      </c>
      <c r="H192" s="2">
        <v>600000</v>
      </c>
      <c r="I192" s="2">
        <v>600000</v>
      </c>
      <c r="J192" s="2">
        <v>0</v>
      </c>
      <c r="K192" s="2">
        <v>600000</v>
      </c>
      <c r="L192" t="s">
        <v>7</v>
      </c>
      <c r="M192" t="s">
        <v>8</v>
      </c>
      <c r="N192" t="s">
        <v>100</v>
      </c>
      <c r="O192" t="s">
        <v>9</v>
      </c>
      <c r="P192" t="s">
        <v>9</v>
      </c>
      <c r="Q192" t="s">
        <v>101</v>
      </c>
      <c r="R192" t="str">
        <f t="shared" si="3"/>
        <v>10000001100000020DIPIKA</v>
      </c>
      <c r="S192" t="e">
        <f>VLOOKUP(R192,[2]Sheet1!$R$2:$AX$20,33,0)</f>
        <v>#N/A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s="2">
        <v>0</v>
      </c>
      <c r="Z192" t="s">
        <v>9</v>
      </c>
      <c r="AA192" t="s">
        <v>9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t="s">
        <v>9</v>
      </c>
      <c r="AQ192" t="s">
        <v>9</v>
      </c>
      <c r="AR192" t="s">
        <v>9</v>
      </c>
      <c r="CZ192" t="s">
        <v>103</v>
      </c>
    </row>
    <row r="193" spans="1:104" x14ac:dyDescent="0.25">
      <c r="A193" t="s">
        <v>106</v>
      </c>
      <c r="B193" t="s">
        <v>513</v>
      </c>
      <c r="C193" t="s">
        <v>99</v>
      </c>
      <c r="D193" t="s">
        <v>3</v>
      </c>
      <c r="E193" t="s">
        <v>4</v>
      </c>
      <c r="F193" t="s">
        <v>5</v>
      </c>
      <c r="G193" t="s">
        <v>6</v>
      </c>
      <c r="H193" s="2">
        <v>1500</v>
      </c>
      <c r="I193" s="2">
        <v>1500</v>
      </c>
      <c r="J193" s="2">
        <v>0</v>
      </c>
      <c r="K193" s="2">
        <v>1500</v>
      </c>
      <c r="L193" t="s">
        <v>7</v>
      </c>
      <c r="M193" t="s">
        <v>8</v>
      </c>
      <c r="N193" t="s">
        <v>629</v>
      </c>
      <c r="O193" t="s">
        <v>9</v>
      </c>
      <c r="P193" t="s">
        <v>9</v>
      </c>
      <c r="Q193" t="s">
        <v>49</v>
      </c>
      <c r="R193" t="str">
        <f t="shared" si="3"/>
        <v>200011100000010DIPIKA</v>
      </c>
      <c r="S193" t="e">
        <f>VLOOKUP(R193,[2]Sheet1!$R$2:$AX$20,33,0)</f>
        <v>#N/A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s="2">
        <v>0</v>
      </c>
      <c r="Z193" t="s">
        <v>9</v>
      </c>
      <c r="AA193" t="s">
        <v>9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t="s">
        <v>9</v>
      </c>
      <c r="AQ193" t="s">
        <v>9</v>
      </c>
      <c r="AR193" t="s">
        <v>9</v>
      </c>
      <c r="CZ193" t="s">
        <v>108</v>
      </c>
    </row>
    <row r="194" spans="1:104" x14ac:dyDescent="0.25">
      <c r="A194" t="s">
        <v>106</v>
      </c>
      <c r="B194" t="s">
        <v>515</v>
      </c>
      <c r="C194" t="s">
        <v>99</v>
      </c>
      <c r="D194" t="s">
        <v>3</v>
      </c>
      <c r="E194" t="s">
        <v>4</v>
      </c>
      <c r="F194" t="s">
        <v>5</v>
      </c>
      <c r="G194" t="s">
        <v>6</v>
      </c>
      <c r="H194" s="2">
        <v>1500</v>
      </c>
      <c r="I194" s="2">
        <v>1500</v>
      </c>
      <c r="J194" s="2">
        <v>0</v>
      </c>
      <c r="K194" s="2">
        <v>1500</v>
      </c>
      <c r="L194" t="s">
        <v>7</v>
      </c>
      <c r="M194" t="s">
        <v>8</v>
      </c>
      <c r="N194" t="s">
        <v>629</v>
      </c>
      <c r="O194" t="s">
        <v>9</v>
      </c>
      <c r="P194" t="s">
        <v>9</v>
      </c>
      <c r="Q194" t="s">
        <v>49</v>
      </c>
      <c r="R194" t="str">
        <f t="shared" si="3"/>
        <v>200011100000010DIPIKA</v>
      </c>
      <c r="S194" t="e">
        <f>VLOOKUP(R194,[2]Sheet1!$R$2:$AX$20,33,0)</f>
        <v>#N/A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s="2">
        <v>0</v>
      </c>
      <c r="Z194" t="s">
        <v>9</v>
      </c>
      <c r="AA194" t="s">
        <v>9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t="s">
        <v>9</v>
      </c>
      <c r="AQ194" t="s">
        <v>9</v>
      </c>
      <c r="AR194" t="s">
        <v>9</v>
      </c>
      <c r="CZ194" t="s">
        <v>108</v>
      </c>
    </row>
    <row r="195" spans="1:104" x14ac:dyDescent="0.25">
      <c r="A195" t="s">
        <v>106</v>
      </c>
      <c r="B195" t="s">
        <v>516</v>
      </c>
      <c r="C195" t="s">
        <v>99</v>
      </c>
      <c r="D195" t="s">
        <v>3</v>
      </c>
      <c r="E195" t="s">
        <v>4</v>
      </c>
      <c r="F195" t="s">
        <v>5</v>
      </c>
      <c r="G195" t="s">
        <v>6</v>
      </c>
      <c r="H195" s="2">
        <v>18000</v>
      </c>
      <c r="I195" s="2">
        <v>18000</v>
      </c>
      <c r="J195" s="2">
        <v>0</v>
      </c>
      <c r="K195" s="2">
        <v>18000</v>
      </c>
      <c r="L195" t="s">
        <v>7</v>
      </c>
      <c r="M195" t="s">
        <v>8</v>
      </c>
      <c r="N195" t="s">
        <v>107</v>
      </c>
      <c r="O195" t="s">
        <v>9</v>
      </c>
      <c r="P195" t="s">
        <v>9</v>
      </c>
      <c r="Q195" t="s">
        <v>49</v>
      </c>
      <c r="R195" t="str">
        <f t="shared" si="3"/>
        <v>200011100000010DIPIKA</v>
      </c>
      <c r="S195" t="e">
        <f>VLOOKUP(R195,[2]Sheet1!$R$2:$AX$20,33,0)</f>
        <v>#N/A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s="2">
        <v>0</v>
      </c>
      <c r="Z195" t="s">
        <v>9</v>
      </c>
      <c r="AA195" t="s">
        <v>9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t="s">
        <v>9</v>
      </c>
      <c r="AQ195" t="s">
        <v>9</v>
      </c>
      <c r="AR195" t="s">
        <v>9</v>
      </c>
      <c r="CZ195" t="s">
        <v>108</v>
      </c>
    </row>
    <row r="196" spans="1:104" x14ac:dyDescent="0.25">
      <c r="A196" t="s">
        <v>106</v>
      </c>
      <c r="B196" t="s">
        <v>24</v>
      </c>
      <c r="C196" t="s">
        <v>99</v>
      </c>
      <c r="D196" t="s">
        <v>3</v>
      </c>
      <c r="E196" t="s">
        <v>4</v>
      </c>
      <c r="F196" t="s">
        <v>5</v>
      </c>
      <c r="G196" t="s">
        <v>6</v>
      </c>
      <c r="H196" s="2">
        <v>1890</v>
      </c>
      <c r="I196" s="2">
        <v>1890</v>
      </c>
      <c r="J196" s="2">
        <v>0</v>
      </c>
      <c r="K196" s="2">
        <v>1890</v>
      </c>
      <c r="L196" t="s">
        <v>7</v>
      </c>
      <c r="M196" t="s">
        <v>8</v>
      </c>
      <c r="N196" t="s">
        <v>107</v>
      </c>
      <c r="O196" t="s">
        <v>9</v>
      </c>
      <c r="P196" t="s">
        <v>9</v>
      </c>
      <c r="Q196" t="s">
        <v>49</v>
      </c>
      <c r="R196" t="str">
        <f t="shared" si="3"/>
        <v>200011100000010DIPIKA</v>
      </c>
      <c r="S196" t="e">
        <f>VLOOKUP(R196,[2]Sheet1!$R$2:$AX$20,33,0)</f>
        <v>#N/A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s="2">
        <v>0</v>
      </c>
      <c r="Z196" t="s">
        <v>9</v>
      </c>
      <c r="AA196" t="s">
        <v>9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t="s">
        <v>9</v>
      </c>
      <c r="AQ196" t="s">
        <v>9</v>
      </c>
      <c r="AR196" t="s">
        <v>9</v>
      </c>
      <c r="CZ196" t="s">
        <v>108</v>
      </c>
    </row>
    <row r="197" spans="1:104" x14ac:dyDescent="0.25">
      <c r="A197" t="s">
        <v>106</v>
      </c>
      <c r="B197" t="s">
        <v>518</v>
      </c>
      <c r="C197" t="s">
        <v>99</v>
      </c>
      <c r="D197" t="s">
        <v>3</v>
      </c>
      <c r="E197" t="s">
        <v>4</v>
      </c>
      <c r="F197" t="s">
        <v>5</v>
      </c>
      <c r="G197" t="s">
        <v>6</v>
      </c>
      <c r="H197" s="2">
        <v>2300</v>
      </c>
      <c r="I197" s="2">
        <v>2300</v>
      </c>
      <c r="J197" s="2">
        <v>0</v>
      </c>
      <c r="K197" s="2">
        <v>2300</v>
      </c>
      <c r="L197" t="s">
        <v>7</v>
      </c>
      <c r="M197" t="s">
        <v>8</v>
      </c>
      <c r="N197" t="s">
        <v>107</v>
      </c>
      <c r="O197" t="s">
        <v>9</v>
      </c>
      <c r="P197" t="s">
        <v>9</v>
      </c>
      <c r="Q197" t="s">
        <v>49</v>
      </c>
      <c r="R197" t="str">
        <f t="shared" si="3"/>
        <v>200011100000010DIPIKA</v>
      </c>
      <c r="S197" t="e">
        <f>VLOOKUP(R197,[2]Sheet1!$R$2:$AX$20,33,0)</f>
        <v>#N/A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s="2">
        <v>0</v>
      </c>
      <c r="Z197" t="s">
        <v>9</v>
      </c>
      <c r="AA197" t="s">
        <v>9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t="s">
        <v>9</v>
      </c>
      <c r="AQ197" t="s">
        <v>9</v>
      </c>
      <c r="AR197" t="s">
        <v>9</v>
      </c>
      <c r="CZ197" t="s">
        <v>108</v>
      </c>
    </row>
    <row r="198" spans="1:104" x14ac:dyDescent="0.25">
      <c r="A198" t="s">
        <v>106</v>
      </c>
      <c r="B198" t="s">
        <v>519</v>
      </c>
      <c r="C198" t="s">
        <v>99</v>
      </c>
      <c r="D198" t="s">
        <v>3</v>
      </c>
      <c r="E198" t="s">
        <v>4</v>
      </c>
      <c r="F198" t="s">
        <v>5</v>
      </c>
      <c r="G198" t="s">
        <v>6</v>
      </c>
      <c r="H198" s="2">
        <v>1000</v>
      </c>
      <c r="I198" s="2">
        <v>1000</v>
      </c>
      <c r="J198" s="2">
        <v>0</v>
      </c>
      <c r="K198" s="2">
        <v>1000</v>
      </c>
      <c r="L198" t="s">
        <v>7</v>
      </c>
      <c r="M198" t="s">
        <v>8</v>
      </c>
      <c r="N198" t="s">
        <v>629</v>
      </c>
      <c r="O198" t="s">
        <v>9</v>
      </c>
      <c r="P198" t="s">
        <v>9</v>
      </c>
      <c r="Q198" t="s">
        <v>49</v>
      </c>
      <c r="R198" t="str">
        <f t="shared" si="3"/>
        <v>200011100000023DIPIKA</v>
      </c>
      <c r="S198" t="e">
        <f>VLOOKUP(R198,[2]Sheet1!$R$2:$AX$20,33,0)</f>
        <v>#N/A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s="2">
        <v>0</v>
      </c>
      <c r="Z198" t="s">
        <v>9</v>
      </c>
      <c r="AA198" t="s">
        <v>9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t="s">
        <v>9</v>
      </c>
      <c r="AQ198" t="s">
        <v>9</v>
      </c>
      <c r="AR198" t="s">
        <v>9</v>
      </c>
      <c r="CZ198" t="s">
        <v>688</v>
      </c>
    </row>
    <row r="199" spans="1:104" x14ac:dyDescent="0.25">
      <c r="A199" t="s">
        <v>106</v>
      </c>
      <c r="B199" t="s">
        <v>520</v>
      </c>
      <c r="C199" t="s">
        <v>99</v>
      </c>
      <c r="D199" t="s">
        <v>3</v>
      </c>
      <c r="E199" t="s">
        <v>4</v>
      </c>
      <c r="F199" t="s">
        <v>5</v>
      </c>
      <c r="G199" t="s">
        <v>6</v>
      </c>
      <c r="H199" s="2">
        <v>1000</v>
      </c>
      <c r="I199" s="2">
        <v>1000</v>
      </c>
      <c r="J199" s="2">
        <v>0</v>
      </c>
      <c r="K199" s="2">
        <v>1000</v>
      </c>
      <c r="L199" t="s">
        <v>7</v>
      </c>
      <c r="M199" t="s">
        <v>8</v>
      </c>
      <c r="N199" t="s">
        <v>629</v>
      </c>
      <c r="O199" t="s">
        <v>9</v>
      </c>
      <c r="P199" t="s">
        <v>9</v>
      </c>
      <c r="Q199" t="s">
        <v>49</v>
      </c>
      <c r="R199" t="str">
        <f t="shared" si="3"/>
        <v>200011100000023DIPIKA</v>
      </c>
      <c r="S199" t="e">
        <f>VLOOKUP(R199,[2]Sheet1!$R$2:$AX$20,33,0)</f>
        <v>#N/A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s="2">
        <v>0</v>
      </c>
      <c r="Z199" t="s">
        <v>9</v>
      </c>
      <c r="AA199" t="s">
        <v>9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t="s">
        <v>9</v>
      </c>
      <c r="AQ199" t="s">
        <v>9</v>
      </c>
      <c r="AR199" t="s">
        <v>9</v>
      </c>
      <c r="CZ199" t="s">
        <v>688</v>
      </c>
    </row>
    <row r="200" spans="1:104" x14ac:dyDescent="0.25">
      <c r="A200" t="s">
        <v>106</v>
      </c>
      <c r="B200" t="s">
        <v>522</v>
      </c>
      <c r="C200" t="s">
        <v>99</v>
      </c>
      <c r="D200" t="s">
        <v>3</v>
      </c>
      <c r="E200" t="s">
        <v>4</v>
      </c>
      <c r="F200" t="s">
        <v>5</v>
      </c>
      <c r="G200" t="s">
        <v>6</v>
      </c>
      <c r="H200" s="2">
        <v>1500</v>
      </c>
      <c r="I200" s="2">
        <v>1500</v>
      </c>
      <c r="J200" s="2">
        <v>0</v>
      </c>
      <c r="K200" s="2">
        <v>1500</v>
      </c>
      <c r="L200" t="s">
        <v>7</v>
      </c>
      <c r="M200" t="s">
        <v>8</v>
      </c>
      <c r="N200" t="s">
        <v>631</v>
      </c>
      <c r="O200" t="s">
        <v>9</v>
      </c>
      <c r="P200" t="s">
        <v>9</v>
      </c>
      <c r="Q200" t="s">
        <v>49</v>
      </c>
      <c r="R200" t="str">
        <f t="shared" si="3"/>
        <v>200011100000023DIPIKA</v>
      </c>
      <c r="S200" t="e">
        <f>VLOOKUP(R200,[2]Sheet1!$R$2:$AX$20,33,0)</f>
        <v>#N/A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s="2">
        <v>0</v>
      </c>
      <c r="Z200" t="s">
        <v>9</v>
      </c>
      <c r="AA200" t="s">
        <v>9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t="s">
        <v>9</v>
      </c>
      <c r="AQ200" t="s">
        <v>9</v>
      </c>
      <c r="AR200" t="s">
        <v>9</v>
      </c>
      <c r="CZ200" t="s">
        <v>688</v>
      </c>
    </row>
    <row r="201" spans="1:104" x14ac:dyDescent="0.25">
      <c r="A201" t="s">
        <v>106</v>
      </c>
      <c r="B201" t="s">
        <v>523</v>
      </c>
      <c r="C201" t="s">
        <v>99</v>
      </c>
      <c r="D201" t="s">
        <v>3</v>
      </c>
      <c r="E201" t="s">
        <v>4</v>
      </c>
      <c r="F201" t="s">
        <v>5</v>
      </c>
      <c r="G201" t="s">
        <v>6</v>
      </c>
      <c r="H201" s="2">
        <v>100</v>
      </c>
      <c r="I201" s="2">
        <v>100</v>
      </c>
      <c r="J201" s="2">
        <v>0</v>
      </c>
      <c r="K201" s="2">
        <v>100</v>
      </c>
      <c r="L201" t="s">
        <v>7</v>
      </c>
      <c r="M201" t="s">
        <v>8</v>
      </c>
      <c r="N201" t="s">
        <v>9</v>
      </c>
      <c r="O201" t="s">
        <v>9</v>
      </c>
      <c r="P201" t="s">
        <v>9</v>
      </c>
      <c r="Q201" t="s">
        <v>49</v>
      </c>
      <c r="R201" t="str">
        <f t="shared" si="3"/>
        <v>200011100000025DIPIKA</v>
      </c>
      <c r="S201" t="e">
        <f>VLOOKUP(R201,[2]Sheet1!$R$2:$AX$20,33,0)</f>
        <v>#N/A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s="2">
        <v>0</v>
      </c>
      <c r="Z201" t="s">
        <v>9</v>
      </c>
      <c r="AA201" t="s">
        <v>9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t="s">
        <v>9</v>
      </c>
      <c r="AQ201" t="s">
        <v>9</v>
      </c>
      <c r="AR201" t="s">
        <v>9</v>
      </c>
      <c r="CZ201" t="s">
        <v>689</v>
      </c>
    </row>
    <row r="202" spans="1:104" x14ac:dyDescent="0.25">
      <c r="A202" t="s">
        <v>106</v>
      </c>
      <c r="B202" t="s">
        <v>524</v>
      </c>
      <c r="C202" t="s">
        <v>99</v>
      </c>
      <c r="D202" t="s">
        <v>3</v>
      </c>
      <c r="E202" t="s">
        <v>4</v>
      </c>
      <c r="F202" t="s">
        <v>5</v>
      </c>
      <c r="G202" t="s">
        <v>6</v>
      </c>
      <c r="H202" s="2">
        <v>1000</v>
      </c>
      <c r="I202" s="2">
        <v>1000</v>
      </c>
      <c r="J202" s="2">
        <v>0</v>
      </c>
      <c r="K202" s="2">
        <v>1000</v>
      </c>
      <c r="L202" t="s">
        <v>7</v>
      </c>
      <c r="M202" t="s">
        <v>8</v>
      </c>
      <c r="N202" t="s">
        <v>629</v>
      </c>
      <c r="O202" t="s">
        <v>9</v>
      </c>
      <c r="P202" t="s">
        <v>9</v>
      </c>
      <c r="Q202" t="s">
        <v>49</v>
      </c>
      <c r="R202" t="str">
        <f t="shared" si="3"/>
        <v>200011100000025DIPIKA</v>
      </c>
      <c r="S202" t="e">
        <f>VLOOKUP(R202,[2]Sheet1!$R$2:$AX$20,33,0)</f>
        <v>#N/A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s="2">
        <v>0</v>
      </c>
      <c r="Z202" t="s">
        <v>9</v>
      </c>
      <c r="AA202" t="s">
        <v>9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t="s">
        <v>9</v>
      </c>
      <c r="AQ202" t="s">
        <v>9</v>
      </c>
      <c r="AR202" t="s">
        <v>9</v>
      </c>
      <c r="CZ202" t="s">
        <v>689</v>
      </c>
    </row>
    <row r="203" spans="1:104" x14ac:dyDescent="0.25">
      <c r="A203" t="s">
        <v>106</v>
      </c>
      <c r="B203" t="s">
        <v>525</v>
      </c>
      <c r="C203" t="s">
        <v>99</v>
      </c>
      <c r="D203" t="s">
        <v>3</v>
      </c>
      <c r="E203" t="s">
        <v>4</v>
      </c>
      <c r="F203" t="s">
        <v>5</v>
      </c>
      <c r="G203" t="s">
        <v>6</v>
      </c>
      <c r="H203" s="2">
        <v>1500</v>
      </c>
      <c r="I203" s="2">
        <v>1500</v>
      </c>
      <c r="J203" s="2">
        <v>0</v>
      </c>
      <c r="K203" s="2">
        <v>1500</v>
      </c>
      <c r="L203" t="s">
        <v>7</v>
      </c>
      <c r="M203" t="s">
        <v>8</v>
      </c>
      <c r="N203" t="s">
        <v>632</v>
      </c>
      <c r="O203" t="s">
        <v>9</v>
      </c>
      <c r="P203" t="s">
        <v>9</v>
      </c>
      <c r="Q203" t="s">
        <v>49</v>
      </c>
      <c r="R203" t="str">
        <f t="shared" si="3"/>
        <v>200011100000025DIPIKA</v>
      </c>
      <c r="S203" t="e">
        <f>VLOOKUP(R203,[2]Sheet1!$R$2:$AX$20,33,0)</f>
        <v>#N/A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 s="2">
        <v>0</v>
      </c>
      <c r="Z203" t="s">
        <v>9</v>
      </c>
      <c r="AA203" t="s">
        <v>9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t="s">
        <v>9</v>
      </c>
      <c r="AQ203" t="s">
        <v>9</v>
      </c>
      <c r="AR203" t="s">
        <v>9</v>
      </c>
      <c r="CZ203" t="s">
        <v>689</v>
      </c>
    </row>
    <row r="204" spans="1:104" x14ac:dyDescent="0.25">
      <c r="A204" t="s">
        <v>106</v>
      </c>
      <c r="B204" t="s">
        <v>526</v>
      </c>
      <c r="C204" t="s">
        <v>99</v>
      </c>
      <c r="D204" t="s">
        <v>3</v>
      </c>
      <c r="E204" t="s">
        <v>4</v>
      </c>
      <c r="F204" t="s">
        <v>5</v>
      </c>
      <c r="G204" t="s">
        <v>6</v>
      </c>
      <c r="H204" s="2">
        <v>1500</v>
      </c>
      <c r="I204" s="2">
        <v>1500</v>
      </c>
      <c r="J204" s="2">
        <v>0</v>
      </c>
      <c r="K204" s="2">
        <v>1500</v>
      </c>
      <c r="L204" t="s">
        <v>7</v>
      </c>
      <c r="M204" t="s">
        <v>8</v>
      </c>
      <c r="N204" t="s">
        <v>629</v>
      </c>
      <c r="O204" t="s">
        <v>9</v>
      </c>
      <c r="P204" t="s">
        <v>9</v>
      </c>
      <c r="Q204" t="s">
        <v>49</v>
      </c>
      <c r="R204" t="str">
        <f t="shared" si="3"/>
        <v>200011100000028DIPIKA</v>
      </c>
      <c r="S204" t="e">
        <f>VLOOKUP(R204,[2]Sheet1!$R$2:$AX$20,33,0)</f>
        <v>#N/A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 s="2">
        <v>0</v>
      </c>
      <c r="Z204" t="s">
        <v>9</v>
      </c>
      <c r="AA204" t="s">
        <v>9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t="s">
        <v>9</v>
      </c>
      <c r="AQ204" t="s">
        <v>9</v>
      </c>
      <c r="AR204" t="s">
        <v>9</v>
      </c>
      <c r="CZ204" t="s">
        <v>690</v>
      </c>
    </row>
    <row r="205" spans="1:104" x14ac:dyDescent="0.25">
      <c r="A205" t="s">
        <v>106</v>
      </c>
      <c r="B205" t="s">
        <v>527</v>
      </c>
      <c r="C205" t="s">
        <v>99</v>
      </c>
      <c r="D205" t="s">
        <v>3</v>
      </c>
      <c r="E205" t="s">
        <v>4</v>
      </c>
      <c r="F205" t="s">
        <v>5</v>
      </c>
      <c r="G205" t="s">
        <v>6</v>
      </c>
      <c r="H205" s="2">
        <v>1000</v>
      </c>
      <c r="I205" s="2">
        <v>1000</v>
      </c>
      <c r="J205" s="2">
        <v>0</v>
      </c>
      <c r="K205" s="2">
        <v>1000</v>
      </c>
      <c r="L205" t="s">
        <v>7</v>
      </c>
      <c r="M205" t="s">
        <v>8</v>
      </c>
      <c r="N205" t="s">
        <v>629</v>
      </c>
      <c r="O205" t="s">
        <v>9</v>
      </c>
      <c r="P205" t="s">
        <v>9</v>
      </c>
      <c r="Q205" t="s">
        <v>49</v>
      </c>
      <c r="R205" t="str">
        <f t="shared" si="3"/>
        <v>200011100000028DIPIKA</v>
      </c>
      <c r="S205" t="e">
        <f>VLOOKUP(R205,[2]Sheet1!$R$2:$AX$20,33,0)</f>
        <v>#N/A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s="2">
        <v>0</v>
      </c>
      <c r="Z205" t="s">
        <v>9</v>
      </c>
      <c r="AA205" t="s">
        <v>9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t="s">
        <v>9</v>
      </c>
      <c r="AQ205" t="s">
        <v>9</v>
      </c>
      <c r="AR205" t="s">
        <v>9</v>
      </c>
      <c r="CZ205" t="s">
        <v>690</v>
      </c>
    </row>
    <row r="206" spans="1:104" x14ac:dyDescent="0.25">
      <c r="A206" t="s">
        <v>106</v>
      </c>
      <c r="B206" t="s">
        <v>528</v>
      </c>
      <c r="C206" t="s">
        <v>99</v>
      </c>
      <c r="D206" t="s">
        <v>3</v>
      </c>
      <c r="E206" t="s">
        <v>4</v>
      </c>
      <c r="F206" t="s">
        <v>5</v>
      </c>
      <c r="G206" t="s">
        <v>6</v>
      </c>
      <c r="H206" s="2">
        <v>1560</v>
      </c>
      <c r="I206" s="2">
        <v>1560</v>
      </c>
      <c r="J206" s="2">
        <v>0</v>
      </c>
      <c r="K206" s="2">
        <v>1560</v>
      </c>
      <c r="L206" t="s">
        <v>7</v>
      </c>
      <c r="M206" t="s">
        <v>8</v>
      </c>
      <c r="N206" t="s">
        <v>629</v>
      </c>
      <c r="O206" t="s">
        <v>9</v>
      </c>
      <c r="P206" t="s">
        <v>9</v>
      </c>
      <c r="Q206" t="s">
        <v>49</v>
      </c>
      <c r="R206" t="str">
        <f t="shared" si="3"/>
        <v>200011100000028DIPIKA</v>
      </c>
      <c r="S206" t="e">
        <f>VLOOKUP(R206,[2]Sheet1!$R$2:$AX$20,33,0)</f>
        <v>#N/A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s="2">
        <v>0</v>
      </c>
      <c r="Z206" t="s">
        <v>9</v>
      </c>
      <c r="AA206" t="s">
        <v>9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t="s">
        <v>9</v>
      </c>
      <c r="AQ206" t="s">
        <v>9</v>
      </c>
      <c r="AR206" t="s">
        <v>9</v>
      </c>
      <c r="CZ206" t="s">
        <v>690</v>
      </c>
    </row>
    <row r="207" spans="1:104" x14ac:dyDescent="0.25">
      <c r="A207" t="s">
        <v>106</v>
      </c>
      <c r="B207" t="s">
        <v>529</v>
      </c>
      <c r="C207" t="s">
        <v>99</v>
      </c>
      <c r="D207" t="s">
        <v>3</v>
      </c>
      <c r="E207" t="s">
        <v>4</v>
      </c>
      <c r="F207" t="s">
        <v>5</v>
      </c>
      <c r="G207" t="s">
        <v>6</v>
      </c>
      <c r="H207" s="2">
        <v>100</v>
      </c>
      <c r="I207" s="2">
        <v>100</v>
      </c>
      <c r="J207" s="2">
        <v>0</v>
      </c>
      <c r="K207" s="2">
        <v>100</v>
      </c>
      <c r="L207" t="s">
        <v>7</v>
      </c>
      <c r="M207" t="s">
        <v>8</v>
      </c>
      <c r="N207" t="s">
        <v>107</v>
      </c>
      <c r="O207" t="s">
        <v>9</v>
      </c>
      <c r="P207" t="s">
        <v>9</v>
      </c>
      <c r="Q207" t="s">
        <v>49</v>
      </c>
      <c r="R207" t="str">
        <f t="shared" si="3"/>
        <v>200011100000028DIPIKA</v>
      </c>
      <c r="S207" t="e">
        <f>VLOOKUP(R207,[2]Sheet1!$R$2:$AX$20,33,0)</f>
        <v>#N/A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s="2">
        <v>0</v>
      </c>
      <c r="Z207" t="s">
        <v>9</v>
      </c>
      <c r="AA207" t="s">
        <v>9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t="s">
        <v>9</v>
      </c>
      <c r="AQ207" t="s">
        <v>9</v>
      </c>
      <c r="AR207" t="s">
        <v>9</v>
      </c>
      <c r="CZ207" t="s">
        <v>690</v>
      </c>
    </row>
    <row r="208" spans="1:104" x14ac:dyDescent="0.25">
      <c r="A208" t="s">
        <v>106</v>
      </c>
      <c r="B208" t="s">
        <v>530</v>
      </c>
      <c r="C208" t="s">
        <v>99</v>
      </c>
      <c r="D208" t="s">
        <v>3</v>
      </c>
      <c r="E208" t="s">
        <v>4</v>
      </c>
      <c r="F208" t="s">
        <v>5</v>
      </c>
      <c r="G208" t="s">
        <v>6</v>
      </c>
      <c r="H208" s="2">
        <v>100</v>
      </c>
      <c r="I208" s="2">
        <v>100</v>
      </c>
      <c r="J208" s="2">
        <v>0</v>
      </c>
      <c r="K208" s="2">
        <v>100</v>
      </c>
      <c r="L208" t="s">
        <v>7</v>
      </c>
      <c r="M208" t="s">
        <v>8</v>
      </c>
      <c r="N208" t="s">
        <v>629</v>
      </c>
      <c r="O208" t="s">
        <v>9</v>
      </c>
      <c r="P208" t="s">
        <v>9</v>
      </c>
      <c r="Q208" t="s">
        <v>49</v>
      </c>
      <c r="R208" t="str">
        <f t="shared" si="3"/>
        <v>200011100000028DIPIKA</v>
      </c>
      <c r="S208" t="e">
        <f>VLOOKUP(R208,[2]Sheet1!$R$2:$AX$20,33,0)</f>
        <v>#N/A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s="2">
        <v>0</v>
      </c>
      <c r="Z208" t="s">
        <v>9</v>
      </c>
      <c r="AA208" t="s">
        <v>9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t="s">
        <v>9</v>
      </c>
      <c r="AQ208" t="s">
        <v>9</v>
      </c>
      <c r="AR208" t="s">
        <v>9</v>
      </c>
      <c r="CZ208" t="s">
        <v>690</v>
      </c>
    </row>
    <row r="209" spans="1:104" x14ac:dyDescent="0.25">
      <c r="A209" t="s">
        <v>106</v>
      </c>
      <c r="B209" t="s">
        <v>531</v>
      </c>
      <c r="C209" t="s">
        <v>99</v>
      </c>
      <c r="D209" t="s">
        <v>3</v>
      </c>
      <c r="E209" t="s">
        <v>4</v>
      </c>
      <c r="F209" t="s">
        <v>5</v>
      </c>
      <c r="G209" t="s">
        <v>6</v>
      </c>
      <c r="H209" s="2">
        <v>1100</v>
      </c>
      <c r="I209" s="2">
        <v>1100</v>
      </c>
      <c r="J209" s="2">
        <v>0</v>
      </c>
      <c r="K209" s="2">
        <v>1100</v>
      </c>
      <c r="L209" t="s">
        <v>7</v>
      </c>
      <c r="M209" t="s">
        <v>8</v>
      </c>
      <c r="N209" t="s">
        <v>633</v>
      </c>
      <c r="O209" t="s">
        <v>9</v>
      </c>
      <c r="P209" t="s">
        <v>9</v>
      </c>
      <c r="Q209" t="s">
        <v>49</v>
      </c>
      <c r="R209" t="str">
        <f t="shared" si="3"/>
        <v>200011100000035DIPIKA</v>
      </c>
      <c r="S209" t="e">
        <f>VLOOKUP(R209,[2]Sheet1!$R$2:$AX$20,33,0)</f>
        <v>#N/A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s="2">
        <v>0</v>
      </c>
      <c r="Z209" t="s">
        <v>9</v>
      </c>
      <c r="AA209" t="s">
        <v>9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t="s">
        <v>9</v>
      </c>
      <c r="AQ209" t="s">
        <v>9</v>
      </c>
      <c r="AR209" t="s">
        <v>9</v>
      </c>
      <c r="CZ209" t="s">
        <v>691</v>
      </c>
    </row>
    <row r="210" spans="1:104" x14ac:dyDescent="0.25">
      <c r="A210" t="s">
        <v>106</v>
      </c>
      <c r="B210" t="s">
        <v>532</v>
      </c>
      <c r="C210" t="s">
        <v>99</v>
      </c>
      <c r="D210" t="s">
        <v>3</v>
      </c>
      <c r="E210" t="s">
        <v>4</v>
      </c>
      <c r="F210" t="s">
        <v>5</v>
      </c>
      <c r="G210" t="s">
        <v>6</v>
      </c>
      <c r="H210" s="2">
        <v>2000</v>
      </c>
      <c r="I210" s="2">
        <v>2000</v>
      </c>
      <c r="J210" s="2">
        <v>0</v>
      </c>
      <c r="K210" s="2">
        <v>2000</v>
      </c>
      <c r="L210" t="s">
        <v>7</v>
      </c>
      <c r="M210" t="s">
        <v>8</v>
      </c>
      <c r="N210" t="s">
        <v>634</v>
      </c>
      <c r="O210" t="s">
        <v>9</v>
      </c>
      <c r="P210" t="s">
        <v>9</v>
      </c>
      <c r="Q210" t="s">
        <v>49</v>
      </c>
      <c r="R210" t="str">
        <f t="shared" si="3"/>
        <v>200011100000036DIPIKA</v>
      </c>
      <c r="S210" t="e">
        <f>VLOOKUP(R210,[2]Sheet1!$R$2:$AX$20,33,0)</f>
        <v>#N/A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s="2">
        <v>0</v>
      </c>
      <c r="Z210" t="s">
        <v>9</v>
      </c>
      <c r="AA210" t="s">
        <v>9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t="s">
        <v>9</v>
      </c>
      <c r="AQ210" t="s">
        <v>9</v>
      </c>
      <c r="AR210" t="s">
        <v>9</v>
      </c>
      <c r="CZ210" t="s">
        <v>692</v>
      </c>
    </row>
    <row r="211" spans="1:104" x14ac:dyDescent="0.25">
      <c r="A211" t="s">
        <v>106</v>
      </c>
      <c r="B211" t="s">
        <v>533</v>
      </c>
      <c r="C211" t="s">
        <v>99</v>
      </c>
      <c r="D211" t="s">
        <v>3</v>
      </c>
      <c r="E211" t="s">
        <v>4</v>
      </c>
      <c r="F211" t="s">
        <v>5</v>
      </c>
      <c r="G211" t="s">
        <v>6</v>
      </c>
      <c r="H211" s="2">
        <v>1500</v>
      </c>
      <c r="I211" s="2">
        <v>1500</v>
      </c>
      <c r="J211" s="2">
        <v>0</v>
      </c>
      <c r="K211" s="2">
        <v>1500</v>
      </c>
      <c r="L211" t="s">
        <v>7</v>
      </c>
      <c r="M211" t="s">
        <v>8</v>
      </c>
      <c r="N211" t="s">
        <v>635</v>
      </c>
      <c r="O211" t="s">
        <v>9</v>
      </c>
      <c r="P211" t="s">
        <v>9</v>
      </c>
      <c r="Q211" t="s">
        <v>49</v>
      </c>
      <c r="R211" t="str">
        <f t="shared" si="3"/>
        <v>200011100000036DIPIKA</v>
      </c>
      <c r="S211" t="e">
        <f>VLOOKUP(R211,[2]Sheet1!$R$2:$AX$20,33,0)</f>
        <v>#N/A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s="2">
        <v>0</v>
      </c>
      <c r="Z211" t="s">
        <v>9</v>
      </c>
      <c r="AA211" t="s">
        <v>9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t="s">
        <v>9</v>
      </c>
      <c r="AQ211" t="s">
        <v>9</v>
      </c>
      <c r="AR211" t="s">
        <v>9</v>
      </c>
      <c r="CZ211" t="s">
        <v>692</v>
      </c>
    </row>
    <row r="212" spans="1:104" x14ac:dyDescent="0.25">
      <c r="A212" t="s">
        <v>106</v>
      </c>
      <c r="B212" t="s">
        <v>544</v>
      </c>
      <c r="C212" t="s">
        <v>99</v>
      </c>
      <c r="D212" t="s">
        <v>3</v>
      </c>
      <c r="E212" t="s">
        <v>4</v>
      </c>
      <c r="F212" t="s">
        <v>5</v>
      </c>
      <c r="G212" t="s">
        <v>6</v>
      </c>
      <c r="H212" s="2">
        <v>2000</v>
      </c>
      <c r="I212" s="2">
        <v>2000</v>
      </c>
      <c r="J212" s="2">
        <v>0</v>
      </c>
      <c r="K212" s="2">
        <v>2000</v>
      </c>
      <c r="L212" t="s">
        <v>7</v>
      </c>
      <c r="M212" t="s">
        <v>8</v>
      </c>
      <c r="N212" t="s">
        <v>633</v>
      </c>
      <c r="O212" t="s">
        <v>9</v>
      </c>
      <c r="P212" t="s">
        <v>9</v>
      </c>
      <c r="Q212" t="s">
        <v>49</v>
      </c>
      <c r="R212" t="str">
        <f t="shared" si="3"/>
        <v>200011100000036DIPIKA</v>
      </c>
      <c r="S212" t="e">
        <f>VLOOKUP(R212,[2]Sheet1!$R$2:$AX$20,33,0)</f>
        <v>#N/A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s="2">
        <v>0</v>
      </c>
      <c r="Z212" t="s">
        <v>9</v>
      </c>
      <c r="AA212" t="s">
        <v>9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t="s">
        <v>9</v>
      </c>
      <c r="AQ212" t="s">
        <v>9</v>
      </c>
      <c r="AR212" t="s">
        <v>9</v>
      </c>
      <c r="CZ212" t="s">
        <v>692</v>
      </c>
    </row>
    <row r="213" spans="1:104" x14ac:dyDescent="0.25">
      <c r="A213" t="s">
        <v>106</v>
      </c>
      <c r="B213" t="s">
        <v>545</v>
      </c>
      <c r="C213" t="s">
        <v>99</v>
      </c>
      <c r="D213" t="s">
        <v>3</v>
      </c>
      <c r="E213" t="s">
        <v>4</v>
      </c>
      <c r="F213" t="s">
        <v>5</v>
      </c>
      <c r="G213" t="s">
        <v>6</v>
      </c>
      <c r="H213" s="2">
        <v>1000</v>
      </c>
      <c r="I213" s="2">
        <v>1000</v>
      </c>
      <c r="J213" s="2">
        <v>0</v>
      </c>
      <c r="K213" s="2">
        <v>1000</v>
      </c>
      <c r="L213" t="s">
        <v>7</v>
      </c>
      <c r="M213" t="s">
        <v>8</v>
      </c>
      <c r="N213" t="s">
        <v>107</v>
      </c>
      <c r="O213" t="s">
        <v>9</v>
      </c>
      <c r="P213" t="s">
        <v>9</v>
      </c>
      <c r="Q213" t="s">
        <v>49</v>
      </c>
      <c r="R213" t="str">
        <f t="shared" si="3"/>
        <v>200011100000010DIPIKA</v>
      </c>
      <c r="S213" t="e">
        <f>VLOOKUP(R213,[2]Sheet1!$R$2:$AX$20,33,0)</f>
        <v>#N/A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s="2">
        <v>0</v>
      </c>
      <c r="Z213" t="s">
        <v>9</v>
      </c>
      <c r="AA213" t="s">
        <v>9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t="s">
        <v>9</v>
      </c>
      <c r="AQ213" t="s">
        <v>9</v>
      </c>
      <c r="AR213" t="s">
        <v>9</v>
      </c>
      <c r="CZ213" t="s">
        <v>108</v>
      </c>
    </row>
    <row r="214" spans="1:104" x14ac:dyDescent="0.25">
      <c r="A214" t="s">
        <v>106</v>
      </c>
      <c r="B214" t="s">
        <v>546</v>
      </c>
      <c r="C214" t="s">
        <v>99</v>
      </c>
      <c r="D214" t="s">
        <v>3</v>
      </c>
      <c r="E214" t="s">
        <v>4</v>
      </c>
      <c r="F214" t="s">
        <v>5</v>
      </c>
      <c r="G214" t="s">
        <v>6</v>
      </c>
      <c r="H214" s="2">
        <v>1000</v>
      </c>
      <c r="I214" s="2">
        <v>1000</v>
      </c>
      <c r="J214" s="2">
        <v>0</v>
      </c>
      <c r="K214" s="2">
        <v>1000</v>
      </c>
      <c r="L214" t="s">
        <v>7</v>
      </c>
      <c r="M214" t="s">
        <v>8</v>
      </c>
      <c r="N214" t="s">
        <v>9</v>
      </c>
      <c r="O214" t="s">
        <v>9</v>
      </c>
      <c r="P214" t="s">
        <v>9</v>
      </c>
      <c r="Q214" t="s">
        <v>49</v>
      </c>
      <c r="R214" t="str">
        <f t="shared" ref="R214:R277" si="4">CONCATENATE(Q214,CZ214,"DIPIKA")</f>
        <v>200011100000010DIPIKA</v>
      </c>
      <c r="S214" t="e">
        <f>VLOOKUP(R214,[2]Sheet1!$R$2:$AX$20,33,0)</f>
        <v>#N/A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s="2">
        <v>0</v>
      </c>
      <c r="Z214" t="s">
        <v>9</v>
      </c>
      <c r="AA214" t="s">
        <v>9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t="s">
        <v>9</v>
      </c>
      <c r="AQ214" t="s">
        <v>9</v>
      </c>
      <c r="AR214" t="s">
        <v>9</v>
      </c>
      <c r="CZ214" t="s">
        <v>108</v>
      </c>
    </row>
    <row r="215" spans="1:104" x14ac:dyDescent="0.25">
      <c r="A215" t="s">
        <v>106</v>
      </c>
      <c r="B215" t="s">
        <v>547</v>
      </c>
      <c r="C215" t="s">
        <v>99</v>
      </c>
      <c r="D215" t="s">
        <v>3</v>
      </c>
      <c r="E215" t="s">
        <v>4</v>
      </c>
      <c r="F215" t="s">
        <v>5</v>
      </c>
      <c r="G215" t="s">
        <v>6</v>
      </c>
      <c r="H215" s="2">
        <v>1500</v>
      </c>
      <c r="I215" s="2">
        <v>1500</v>
      </c>
      <c r="J215" s="2">
        <v>0</v>
      </c>
      <c r="K215" s="2">
        <v>1500</v>
      </c>
      <c r="L215" t="s">
        <v>7</v>
      </c>
      <c r="M215" t="s">
        <v>8</v>
      </c>
      <c r="N215" t="s">
        <v>633</v>
      </c>
      <c r="O215" t="s">
        <v>9</v>
      </c>
      <c r="P215" t="s">
        <v>9</v>
      </c>
      <c r="Q215" t="s">
        <v>49</v>
      </c>
      <c r="R215" t="str">
        <f t="shared" si="4"/>
        <v>200011100000040DIPIKA</v>
      </c>
      <c r="S215" t="e">
        <f>VLOOKUP(R215,[2]Sheet1!$R$2:$AX$20,33,0)</f>
        <v>#N/A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s="2">
        <v>0</v>
      </c>
      <c r="Z215" t="s">
        <v>9</v>
      </c>
      <c r="AA215" t="s">
        <v>9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t="s">
        <v>9</v>
      </c>
      <c r="AQ215" t="s">
        <v>9</v>
      </c>
      <c r="AR215" t="s">
        <v>9</v>
      </c>
      <c r="CZ215" t="s">
        <v>693</v>
      </c>
    </row>
    <row r="216" spans="1:104" x14ac:dyDescent="0.25">
      <c r="A216" t="s">
        <v>636</v>
      </c>
      <c r="B216" t="s">
        <v>513</v>
      </c>
      <c r="C216" t="s">
        <v>99</v>
      </c>
      <c r="D216" t="s">
        <v>3</v>
      </c>
      <c r="E216" t="s">
        <v>4</v>
      </c>
      <c r="F216" t="s">
        <v>5</v>
      </c>
      <c r="G216" t="s">
        <v>6</v>
      </c>
      <c r="H216" s="2">
        <v>1000</v>
      </c>
      <c r="I216" s="2">
        <v>1000</v>
      </c>
      <c r="J216" s="2">
        <v>0</v>
      </c>
      <c r="K216" s="2">
        <v>1000</v>
      </c>
      <c r="L216" t="s">
        <v>7</v>
      </c>
      <c r="M216" t="s">
        <v>9</v>
      </c>
      <c r="N216" t="s">
        <v>629</v>
      </c>
      <c r="O216" t="s">
        <v>9</v>
      </c>
      <c r="P216" t="s">
        <v>9</v>
      </c>
      <c r="Q216" t="s">
        <v>49</v>
      </c>
      <c r="R216" t="str">
        <f t="shared" si="4"/>
        <v>200011100000026DIPIKA</v>
      </c>
      <c r="S216" t="e">
        <f>VLOOKUP(R216,[2]Sheet1!$R$2:$AX$20,33,0)</f>
        <v>#N/A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s="2">
        <v>0</v>
      </c>
      <c r="Z216" t="s">
        <v>9</v>
      </c>
      <c r="AA216" t="s">
        <v>9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t="s">
        <v>9</v>
      </c>
      <c r="AQ216" t="s">
        <v>9</v>
      </c>
      <c r="AR216" t="s">
        <v>9</v>
      </c>
      <c r="CZ216" t="s">
        <v>694</v>
      </c>
    </row>
    <row r="217" spans="1:104" x14ac:dyDescent="0.25">
      <c r="A217" t="s">
        <v>636</v>
      </c>
      <c r="B217" t="s">
        <v>516</v>
      </c>
      <c r="C217" t="s">
        <v>99</v>
      </c>
      <c r="D217" t="s">
        <v>3</v>
      </c>
      <c r="E217" t="s">
        <v>4</v>
      </c>
      <c r="F217" t="s">
        <v>5</v>
      </c>
      <c r="G217" t="s">
        <v>6</v>
      </c>
      <c r="H217" s="2">
        <v>600</v>
      </c>
      <c r="I217" s="2">
        <v>600</v>
      </c>
      <c r="J217" s="2">
        <v>0</v>
      </c>
      <c r="K217" s="2">
        <v>600</v>
      </c>
      <c r="L217" t="s">
        <v>7</v>
      </c>
      <c r="M217" t="s">
        <v>9</v>
      </c>
      <c r="N217" t="s">
        <v>629</v>
      </c>
      <c r="O217" t="s">
        <v>9</v>
      </c>
      <c r="P217" t="s">
        <v>9</v>
      </c>
      <c r="Q217" t="s">
        <v>49</v>
      </c>
      <c r="R217" t="str">
        <f t="shared" si="4"/>
        <v>200011100000026DIPIKA</v>
      </c>
      <c r="S217" t="e">
        <f>VLOOKUP(R217,[2]Sheet1!$R$2:$AX$20,33,0)</f>
        <v>#N/A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s="2">
        <v>0</v>
      </c>
      <c r="Z217" t="s">
        <v>9</v>
      </c>
      <c r="AA217" t="s">
        <v>9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t="s">
        <v>9</v>
      </c>
      <c r="AQ217" t="s">
        <v>9</v>
      </c>
      <c r="AR217" t="s">
        <v>9</v>
      </c>
      <c r="CZ217" t="s">
        <v>694</v>
      </c>
    </row>
    <row r="218" spans="1:104" x14ac:dyDescent="0.25">
      <c r="A218" t="s">
        <v>636</v>
      </c>
      <c r="B218" t="s">
        <v>518</v>
      </c>
      <c r="C218" t="s">
        <v>99</v>
      </c>
      <c r="D218" t="s">
        <v>3</v>
      </c>
      <c r="E218" t="s">
        <v>4</v>
      </c>
      <c r="F218" t="s">
        <v>5</v>
      </c>
      <c r="G218" t="s">
        <v>6</v>
      </c>
      <c r="H218" s="2">
        <v>1500</v>
      </c>
      <c r="I218" s="2">
        <v>1500</v>
      </c>
      <c r="J218" s="2">
        <v>0</v>
      </c>
      <c r="K218" s="2">
        <v>1500</v>
      </c>
      <c r="L218" t="s">
        <v>7</v>
      </c>
      <c r="M218" t="s">
        <v>9</v>
      </c>
      <c r="N218" t="s">
        <v>629</v>
      </c>
      <c r="O218" t="s">
        <v>9</v>
      </c>
      <c r="P218" t="s">
        <v>9</v>
      </c>
      <c r="Q218" t="s">
        <v>49</v>
      </c>
      <c r="R218" t="str">
        <f t="shared" si="4"/>
        <v>200011100000026DIPIKA</v>
      </c>
      <c r="S218" t="e">
        <f>VLOOKUP(R218,[2]Sheet1!$R$2:$AX$20,33,0)</f>
        <v>#N/A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s="2">
        <v>0</v>
      </c>
      <c r="Z218" t="s">
        <v>9</v>
      </c>
      <c r="AA218" t="s">
        <v>9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t="s">
        <v>9</v>
      </c>
      <c r="AQ218" t="s">
        <v>9</v>
      </c>
      <c r="AR218" t="s">
        <v>9</v>
      </c>
      <c r="CZ218" t="s">
        <v>694</v>
      </c>
    </row>
    <row r="219" spans="1:104" x14ac:dyDescent="0.25">
      <c r="A219" t="s">
        <v>637</v>
      </c>
      <c r="B219" t="s">
        <v>513</v>
      </c>
      <c r="C219" t="s">
        <v>112</v>
      </c>
      <c r="D219" t="s">
        <v>3</v>
      </c>
      <c r="E219" t="s">
        <v>4</v>
      </c>
      <c r="F219" t="s">
        <v>5</v>
      </c>
      <c r="G219" t="s">
        <v>6</v>
      </c>
      <c r="H219" s="2">
        <v>30000</v>
      </c>
      <c r="I219" s="2">
        <v>30000</v>
      </c>
      <c r="J219" s="2">
        <v>0</v>
      </c>
      <c r="K219" s="2">
        <v>30000</v>
      </c>
      <c r="L219" t="s">
        <v>7</v>
      </c>
      <c r="M219" t="s">
        <v>8</v>
      </c>
      <c r="N219" t="s">
        <v>9</v>
      </c>
      <c r="O219" t="s">
        <v>9</v>
      </c>
      <c r="P219" t="s">
        <v>9</v>
      </c>
      <c r="Q219" t="s">
        <v>638</v>
      </c>
      <c r="R219" t="str">
        <f t="shared" si="4"/>
        <v>40110000499999DIPIKA</v>
      </c>
      <c r="S219" t="e">
        <f>VLOOKUP(R219,[2]Sheet1!$R$2:$AX$20,33,0)</f>
        <v>#N/A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s="2">
        <v>0</v>
      </c>
      <c r="Z219" t="s">
        <v>9</v>
      </c>
      <c r="AA219" t="s">
        <v>9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t="s">
        <v>9</v>
      </c>
      <c r="AQ219" t="s">
        <v>9</v>
      </c>
      <c r="AR219" t="s">
        <v>9</v>
      </c>
      <c r="CZ219" t="s">
        <v>695</v>
      </c>
    </row>
    <row r="220" spans="1:104" x14ac:dyDescent="0.25">
      <c r="A220" t="s">
        <v>637</v>
      </c>
      <c r="B220" t="s">
        <v>515</v>
      </c>
      <c r="C220" t="s">
        <v>112</v>
      </c>
      <c r="D220" t="s">
        <v>3</v>
      </c>
      <c r="E220" t="s">
        <v>4</v>
      </c>
      <c r="F220" t="s">
        <v>5</v>
      </c>
      <c r="G220" t="s">
        <v>6</v>
      </c>
      <c r="H220" s="2">
        <v>30000</v>
      </c>
      <c r="I220" s="2">
        <v>30000</v>
      </c>
      <c r="J220" s="2">
        <v>0</v>
      </c>
      <c r="K220" s="2">
        <v>30000</v>
      </c>
      <c r="L220" t="s">
        <v>7</v>
      </c>
      <c r="M220" t="s">
        <v>8</v>
      </c>
      <c r="N220" t="s">
        <v>9</v>
      </c>
      <c r="O220" t="s">
        <v>9</v>
      </c>
      <c r="P220" t="s">
        <v>9</v>
      </c>
      <c r="Q220" t="s">
        <v>638</v>
      </c>
      <c r="R220" t="str">
        <f t="shared" si="4"/>
        <v>40110000499999DIPIKA</v>
      </c>
      <c r="S220" t="e">
        <f>VLOOKUP(R220,[2]Sheet1!$R$2:$AX$20,33,0)</f>
        <v>#N/A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s="2">
        <v>0</v>
      </c>
      <c r="Z220" t="s">
        <v>9</v>
      </c>
      <c r="AA220" t="s">
        <v>9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t="s">
        <v>9</v>
      </c>
      <c r="AQ220" t="s">
        <v>9</v>
      </c>
      <c r="AR220" t="s">
        <v>9</v>
      </c>
      <c r="CZ220" t="s">
        <v>695</v>
      </c>
    </row>
    <row r="221" spans="1:104" x14ac:dyDescent="0.25">
      <c r="A221" t="s">
        <v>639</v>
      </c>
      <c r="B221" t="s">
        <v>513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10000</v>
      </c>
      <c r="I221" s="2">
        <v>10000</v>
      </c>
      <c r="J221" s="2">
        <v>0</v>
      </c>
      <c r="K221" s="2">
        <v>10000</v>
      </c>
      <c r="L221" t="s">
        <v>27</v>
      </c>
      <c r="M221" t="s">
        <v>8</v>
      </c>
      <c r="N221" t="s">
        <v>9</v>
      </c>
      <c r="O221" t="s">
        <v>9</v>
      </c>
      <c r="P221" t="s">
        <v>9</v>
      </c>
      <c r="Q221" t="s">
        <v>640</v>
      </c>
      <c r="R221" t="str">
        <f t="shared" si="4"/>
        <v>10000000016000002DIPIKA</v>
      </c>
      <c r="S221" t="e">
        <f>VLOOKUP(R221,[2]Sheet1!$R$2:$AX$20,33,0)</f>
        <v>#N/A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s="2">
        <v>0</v>
      </c>
      <c r="Z221" t="s">
        <v>9</v>
      </c>
      <c r="AA221" t="s">
        <v>9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t="s">
        <v>9</v>
      </c>
      <c r="AQ221" t="s">
        <v>9</v>
      </c>
      <c r="AR221" t="s">
        <v>9</v>
      </c>
      <c r="CZ221" t="s">
        <v>696</v>
      </c>
    </row>
    <row r="222" spans="1:104" x14ac:dyDescent="0.25">
      <c r="A222" t="s">
        <v>639</v>
      </c>
      <c r="B222" t="s">
        <v>515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10000</v>
      </c>
      <c r="I222" s="2">
        <v>10000</v>
      </c>
      <c r="J222" s="2">
        <v>0</v>
      </c>
      <c r="K222" s="2">
        <v>10000</v>
      </c>
      <c r="L222" t="s">
        <v>27</v>
      </c>
      <c r="M222" t="s">
        <v>8</v>
      </c>
      <c r="N222" t="s">
        <v>9</v>
      </c>
      <c r="O222" t="s">
        <v>9</v>
      </c>
      <c r="P222" t="s">
        <v>9</v>
      </c>
      <c r="Q222" t="s">
        <v>640</v>
      </c>
      <c r="R222" t="str">
        <f t="shared" si="4"/>
        <v>10000000016000002DIPIKA</v>
      </c>
      <c r="S222" t="e">
        <f>VLOOKUP(R222,[2]Sheet1!$R$2:$AX$20,33,0)</f>
        <v>#N/A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s="2">
        <v>0</v>
      </c>
      <c r="Z222" t="s">
        <v>9</v>
      </c>
      <c r="AA222" t="s">
        <v>9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t="s">
        <v>9</v>
      </c>
      <c r="AQ222" t="s">
        <v>9</v>
      </c>
      <c r="AR222" t="s">
        <v>9</v>
      </c>
      <c r="CZ222" t="s">
        <v>696</v>
      </c>
    </row>
    <row r="223" spans="1:104" x14ac:dyDescent="0.25">
      <c r="A223" t="s">
        <v>641</v>
      </c>
      <c r="B223" t="s">
        <v>513</v>
      </c>
      <c r="C223" t="s">
        <v>99</v>
      </c>
      <c r="D223" t="s">
        <v>3</v>
      </c>
      <c r="E223" t="s">
        <v>4</v>
      </c>
      <c r="F223" t="s">
        <v>5</v>
      </c>
      <c r="G223" t="s">
        <v>6</v>
      </c>
      <c r="H223" s="2">
        <v>5000</v>
      </c>
      <c r="I223" s="2">
        <v>5000</v>
      </c>
      <c r="J223" s="2">
        <v>0</v>
      </c>
      <c r="K223" s="2">
        <v>5000</v>
      </c>
      <c r="L223" t="s">
        <v>7</v>
      </c>
      <c r="M223" t="s">
        <v>8</v>
      </c>
      <c r="N223" t="s">
        <v>9</v>
      </c>
      <c r="O223" t="s">
        <v>9</v>
      </c>
      <c r="P223" t="s">
        <v>9</v>
      </c>
      <c r="Q223" t="s">
        <v>642</v>
      </c>
      <c r="R223" t="str">
        <f t="shared" si="4"/>
        <v>700004001003DIPIKA</v>
      </c>
      <c r="S223" t="e">
        <f>VLOOKUP(R223,[2]Sheet1!$R$2:$AX$20,33,0)</f>
        <v>#N/A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s="2">
        <v>0</v>
      </c>
      <c r="Z223" t="s">
        <v>9</v>
      </c>
      <c r="AA223" t="s">
        <v>9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t="s">
        <v>9</v>
      </c>
      <c r="AQ223" t="s">
        <v>9</v>
      </c>
      <c r="AR223" t="s">
        <v>9</v>
      </c>
      <c r="CZ223" t="s">
        <v>697</v>
      </c>
    </row>
    <row r="224" spans="1:104" x14ac:dyDescent="0.25">
      <c r="A224" t="s">
        <v>643</v>
      </c>
      <c r="B224" t="s">
        <v>513</v>
      </c>
      <c r="C224" t="s">
        <v>112</v>
      </c>
      <c r="D224" t="s">
        <v>3</v>
      </c>
      <c r="E224" t="s">
        <v>4</v>
      </c>
      <c r="F224" t="s">
        <v>5</v>
      </c>
      <c r="G224" t="s">
        <v>6</v>
      </c>
      <c r="H224" s="2">
        <v>900</v>
      </c>
      <c r="I224" s="2">
        <v>900</v>
      </c>
      <c r="J224" s="2">
        <v>0</v>
      </c>
      <c r="K224" s="2">
        <v>900</v>
      </c>
      <c r="L224" t="s">
        <v>7</v>
      </c>
      <c r="M224" t="s">
        <v>8</v>
      </c>
      <c r="N224" t="s">
        <v>9</v>
      </c>
      <c r="O224" t="s">
        <v>9</v>
      </c>
      <c r="P224" t="s">
        <v>9</v>
      </c>
      <c r="Q224" t="s">
        <v>644</v>
      </c>
      <c r="R224" t="str">
        <f t="shared" si="4"/>
        <v>2440000098DIPIKA</v>
      </c>
      <c r="S224" t="e">
        <f>VLOOKUP(R224,[2]Sheet1!$R$2:$AX$20,33,0)</f>
        <v>#N/A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s="2">
        <v>0</v>
      </c>
      <c r="Z224" t="s">
        <v>9</v>
      </c>
      <c r="AA224" t="s">
        <v>9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t="s">
        <v>9</v>
      </c>
      <c r="AQ224" t="s">
        <v>9</v>
      </c>
      <c r="AR224" t="s">
        <v>9</v>
      </c>
      <c r="CZ224" t="s">
        <v>698</v>
      </c>
    </row>
    <row r="225" spans="1:104" x14ac:dyDescent="0.25">
      <c r="A225" t="s">
        <v>643</v>
      </c>
      <c r="B225" t="s">
        <v>513</v>
      </c>
      <c r="C225" t="s">
        <v>54</v>
      </c>
      <c r="D225" t="s">
        <v>3</v>
      </c>
      <c r="E225" t="s">
        <v>4</v>
      </c>
      <c r="F225" t="s">
        <v>5</v>
      </c>
      <c r="G225" t="s">
        <v>6</v>
      </c>
      <c r="H225" s="2">
        <v>100</v>
      </c>
      <c r="I225" s="2">
        <v>100</v>
      </c>
      <c r="J225" s="2">
        <v>0</v>
      </c>
      <c r="K225" s="2">
        <v>100</v>
      </c>
      <c r="L225" t="s">
        <v>7</v>
      </c>
      <c r="M225" t="s">
        <v>8</v>
      </c>
      <c r="N225" t="s">
        <v>9</v>
      </c>
      <c r="O225" t="s">
        <v>9</v>
      </c>
      <c r="P225" t="s">
        <v>9</v>
      </c>
      <c r="Q225" t="s">
        <v>644</v>
      </c>
      <c r="R225" t="str">
        <f t="shared" si="4"/>
        <v>2440000098DIPIKA</v>
      </c>
      <c r="S225" t="e">
        <f>VLOOKUP(R225,[2]Sheet1!$R$2:$AX$20,33,0)</f>
        <v>#N/A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s="2">
        <v>0</v>
      </c>
      <c r="Z225" t="s">
        <v>9</v>
      </c>
      <c r="AA225" t="s">
        <v>9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t="s">
        <v>9</v>
      </c>
      <c r="AQ225" t="s">
        <v>9</v>
      </c>
      <c r="AR225" t="s">
        <v>9</v>
      </c>
      <c r="CZ225" t="s">
        <v>698</v>
      </c>
    </row>
    <row r="226" spans="1:104" x14ac:dyDescent="0.25">
      <c r="A226" t="s">
        <v>643</v>
      </c>
      <c r="B226" t="s">
        <v>513</v>
      </c>
      <c r="C226" t="s">
        <v>99</v>
      </c>
      <c r="D226" t="s">
        <v>3</v>
      </c>
      <c r="E226" t="s">
        <v>4</v>
      </c>
      <c r="F226" t="s">
        <v>5</v>
      </c>
      <c r="G226" t="s">
        <v>6</v>
      </c>
      <c r="H226" s="2">
        <v>29800</v>
      </c>
      <c r="I226" s="2">
        <v>400</v>
      </c>
      <c r="J226" s="2">
        <v>0</v>
      </c>
      <c r="K226" s="2">
        <v>400</v>
      </c>
      <c r="L226" t="s">
        <v>27</v>
      </c>
      <c r="M226" t="s">
        <v>8</v>
      </c>
      <c r="N226" t="s">
        <v>9</v>
      </c>
      <c r="O226" t="s">
        <v>9</v>
      </c>
      <c r="P226" t="s">
        <v>9</v>
      </c>
      <c r="Q226" t="s">
        <v>10</v>
      </c>
      <c r="R226" t="str">
        <f t="shared" si="4"/>
        <v>24430000400006DIPIKA</v>
      </c>
      <c r="S226" t="e">
        <f>VLOOKUP(R226,[2]Sheet1!$R$2:$AX$20,33,0)</f>
        <v>#N/A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s="2">
        <v>0</v>
      </c>
      <c r="Z226" t="s">
        <v>9</v>
      </c>
      <c r="AA226" t="s">
        <v>9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t="s">
        <v>9</v>
      </c>
      <c r="AQ226" t="s">
        <v>9</v>
      </c>
      <c r="AR226" t="s">
        <v>9</v>
      </c>
      <c r="CZ226" t="s">
        <v>699</v>
      </c>
    </row>
    <row r="227" spans="1:104" x14ac:dyDescent="0.25">
      <c r="A227" t="s">
        <v>643</v>
      </c>
      <c r="B227" t="s">
        <v>515</v>
      </c>
      <c r="C227" t="s">
        <v>112</v>
      </c>
      <c r="D227" t="s">
        <v>3</v>
      </c>
      <c r="E227" t="s">
        <v>4</v>
      </c>
      <c r="F227" t="s">
        <v>5</v>
      </c>
      <c r="G227" t="s">
        <v>6</v>
      </c>
      <c r="H227" s="2">
        <v>1800</v>
      </c>
      <c r="I227" s="2">
        <v>1800</v>
      </c>
      <c r="J227" s="2">
        <v>0</v>
      </c>
      <c r="K227" s="2">
        <v>1800</v>
      </c>
      <c r="L227" t="s">
        <v>7</v>
      </c>
      <c r="M227" t="s">
        <v>8</v>
      </c>
      <c r="N227" t="s">
        <v>9</v>
      </c>
      <c r="O227" t="s">
        <v>9</v>
      </c>
      <c r="P227" t="s">
        <v>9</v>
      </c>
      <c r="Q227" t="s">
        <v>644</v>
      </c>
      <c r="R227" t="str">
        <f t="shared" si="4"/>
        <v>2440000098DIPIKA</v>
      </c>
      <c r="S227" t="e">
        <f>VLOOKUP(R227,[2]Sheet1!$R$2:$AX$20,33,0)</f>
        <v>#N/A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s="2">
        <v>0</v>
      </c>
      <c r="Z227" t="s">
        <v>9</v>
      </c>
      <c r="AA227" t="s">
        <v>9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t="s">
        <v>9</v>
      </c>
      <c r="AQ227" t="s">
        <v>9</v>
      </c>
      <c r="AR227" t="s">
        <v>9</v>
      </c>
      <c r="CZ227" t="s">
        <v>698</v>
      </c>
    </row>
    <row r="228" spans="1:104" x14ac:dyDescent="0.25">
      <c r="A228" t="s">
        <v>643</v>
      </c>
      <c r="B228" t="s">
        <v>515</v>
      </c>
      <c r="C228" t="s">
        <v>32</v>
      </c>
      <c r="D228" t="s">
        <v>3</v>
      </c>
      <c r="E228" t="s">
        <v>4</v>
      </c>
      <c r="F228" t="s">
        <v>5</v>
      </c>
      <c r="G228" t="s">
        <v>6</v>
      </c>
      <c r="H228" s="2">
        <v>1000</v>
      </c>
      <c r="I228" s="2">
        <v>1000</v>
      </c>
      <c r="J228" s="2">
        <v>0</v>
      </c>
      <c r="K228" s="2">
        <v>1000</v>
      </c>
      <c r="L228" t="s">
        <v>7</v>
      </c>
      <c r="M228" t="s">
        <v>8</v>
      </c>
      <c r="N228" t="s">
        <v>9</v>
      </c>
      <c r="O228" t="s">
        <v>9</v>
      </c>
      <c r="P228" t="s">
        <v>9</v>
      </c>
      <c r="Q228" t="s">
        <v>10</v>
      </c>
      <c r="R228" t="str">
        <f t="shared" si="4"/>
        <v>24430000400022DIPIKA</v>
      </c>
      <c r="S228" t="e">
        <f>VLOOKUP(R228,[2]Sheet1!$R$2:$AX$20,33,0)</f>
        <v>#N/A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s="2">
        <v>0</v>
      </c>
      <c r="Z228" t="s">
        <v>9</v>
      </c>
      <c r="AA228" t="s">
        <v>9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t="s">
        <v>9</v>
      </c>
      <c r="AQ228" t="s">
        <v>9</v>
      </c>
      <c r="AR228" t="s">
        <v>9</v>
      </c>
      <c r="CZ228" t="s">
        <v>700</v>
      </c>
    </row>
    <row r="229" spans="1:104" x14ac:dyDescent="0.25">
      <c r="A229" t="s">
        <v>643</v>
      </c>
      <c r="B229" t="s">
        <v>516</v>
      </c>
      <c r="C229" t="s">
        <v>32</v>
      </c>
      <c r="D229" t="s">
        <v>3</v>
      </c>
      <c r="E229" t="s">
        <v>4</v>
      </c>
      <c r="F229" t="s">
        <v>5</v>
      </c>
      <c r="G229" t="s">
        <v>6</v>
      </c>
      <c r="H229" s="2">
        <v>1000</v>
      </c>
      <c r="I229" s="2">
        <v>1000</v>
      </c>
      <c r="J229" s="2">
        <v>0</v>
      </c>
      <c r="K229" s="2">
        <v>1000</v>
      </c>
      <c r="L229" t="s">
        <v>7</v>
      </c>
      <c r="M229" t="s">
        <v>8</v>
      </c>
      <c r="N229" t="s">
        <v>9</v>
      </c>
      <c r="O229" t="s">
        <v>9</v>
      </c>
      <c r="P229" t="s">
        <v>9</v>
      </c>
      <c r="Q229" t="s">
        <v>10</v>
      </c>
      <c r="R229" t="str">
        <f t="shared" si="4"/>
        <v>24430000400022DIPIKA</v>
      </c>
      <c r="S229" t="e">
        <f>VLOOKUP(R229,[2]Sheet1!$R$2:$AX$20,33,0)</f>
        <v>#N/A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s="2">
        <v>0</v>
      </c>
      <c r="Z229" t="s">
        <v>9</v>
      </c>
      <c r="AA229" t="s">
        <v>9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t="s">
        <v>9</v>
      </c>
      <c r="AQ229" t="s">
        <v>9</v>
      </c>
      <c r="AR229" t="s">
        <v>9</v>
      </c>
      <c r="CZ229" t="s">
        <v>700</v>
      </c>
    </row>
    <row r="230" spans="1:104" x14ac:dyDescent="0.25">
      <c r="A230" t="s">
        <v>111</v>
      </c>
      <c r="B230" t="s">
        <v>513</v>
      </c>
      <c r="C230" t="s">
        <v>112</v>
      </c>
      <c r="D230" t="s">
        <v>3</v>
      </c>
      <c r="E230" t="s">
        <v>4</v>
      </c>
      <c r="F230" t="s">
        <v>5</v>
      </c>
      <c r="G230" t="s">
        <v>6</v>
      </c>
      <c r="H230" s="2">
        <v>1500000</v>
      </c>
      <c r="I230" s="2">
        <v>1500000</v>
      </c>
      <c r="J230" s="2">
        <v>0</v>
      </c>
      <c r="K230" s="2">
        <v>1500000</v>
      </c>
      <c r="L230" t="s">
        <v>7</v>
      </c>
      <c r="M230" t="s">
        <v>8</v>
      </c>
      <c r="N230" t="s">
        <v>9</v>
      </c>
      <c r="O230" t="s">
        <v>9</v>
      </c>
      <c r="P230" t="s">
        <v>9</v>
      </c>
      <c r="Q230" t="s">
        <v>10</v>
      </c>
      <c r="R230" t="str">
        <f t="shared" si="4"/>
        <v>24430000200000003DIPIKA</v>
      </c>
      <c r="S230" t="e">
        <f>VLOOKUP(R230,[2]Sheet1!$R$2:$AX$20,33,0)</f>
        <v>#N/A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s="2">
        <v>0</v>
      </c>
      <c r="Z230" t="s">
        <v>9</v>
      </c>
      <c r="AA230" t="s">
        <v>9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t="s">
        <v>9</v>
      </c>
      <c r="AQ230" t="s">
        <v>9</v>
      </c>
      <c r="AR230" t="s">
        <v>9</v>
      </c>
      <c r="CZ230" t="s">
        <v>114</v>
      </c>
    </row>
    <row r="231" spans="1:104" x14ac:dyDescent="0.25">
      <c r="A231" t="s">
        <v>111</v>
      </c>
      <c r="B231" t="s">
        <v>513</v>
      </c>
      <c r="C231" t="s">
        <v>54</v>
      </c>
      <c r="D231" t="s">
        <v>3</v>
      </c>
      <c r="E231" t="s">
        <v>4</v>
      </c>
      <c r="F231" t="s">
        <v>5</v>
      </c>
      <c r="G231" t="s">
        <v>6</v>
      </c>
      <c r="H231" s="2">
        <v>25000</v>
      </c>
      <c r="I231" s="2">
        <v>25000</v>
      </c>
      <c r="J231" s="2">
        <v>0</v>
      </c>
      <c r="K231" s="2">
        <v>25000</v>
      </c>
      <c r="L231" t="s">
        <v>7</v>
      </c>
      <c r="M231" t="s">
        <v>8</v>
      </c>
      <c r="N231" t="s">
        <v>645</v>
      </c>
      <c r="O231" t="s">
        <v>9</v>
      </c>
      <c r="P231" t="s">
        <v>9</v>
      </c>
      <c r="Q231" t="s">
        <v>10</v>
      </c>
      <c r="R231" t="str">
        <f t="shared" si="4"/>
        <v>24430000200000003DIPIKA</v>
      </c>
      <c r="S231" t="e">
        <f>VLOOKUP(R231,[2]Sheet1!$R$2:$AX$20,33,0)</f>
        <v>#N/A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s="2">
        <v>0</v>
      </c>
      <c r="Z231" t="s">
        <v>9</v>
      </c>
      <c r="AA231" t="s">
        <v>9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t="s">
        <v>9</v>
      </c>
      <c r="AQ231" t="s">
        <v>9</v>
      </c>
      <c r="AR231" t="s">
        <v>9</v>
      </c>
      <c r="CZ231" t="s">
        <v>114</v>
      </c>
    </row>
    <row r="232" spans="1:104" x14ac:dyDescent="0.25">
      <c r="A232" t="s">
        <v>111</v>
      </c>
      <c r="B232" t="s">
        <v>513</v>
      </c>
      <c r="C232" t="s">
        <v>99</v>
      </c>
      <c r="D232" t="s">
        <v>3</v>
      </c>
      <c r="E232" t="s">
        <v>4</v>
      </c>
      <c r="F232" t="s">
        <v>5</v>
      </c>
      <c r="G232" t="s">
        <v>6</v>
      </c>
      <c r="H232" s="2">
        <v>1000</v>
      </c>
      <c r="I232" s="2">
        <v>1000</v>
      </c>
      <c r="J232" s="2">
        <v>0</v>
      </c>
      <c r="K232" s="2">
        <v>1000</v>
      </c>
      <c r="L232" t="s">
        <v>7</v>
      </c>
      <c r="M232" t="s">
        <v>9</v>
      </c>
      <c r="N232" t="s">
        <v>9</v>
      </c>
      <c r="O232" t="s">
        <v>9</v>
      </c>
      <c r="P232" t="s">
        <v>9</v>
      </c>
      <c r="Q232" t="s">
        <v>10</v>
      </c>
      <c r="R232" t="str">
        <f t="shared" si="4"/>
        <v>24430000165DIPIKA</v>
      </c>
      <c r="S232" t="e">
        <f>VLOOKUP(R232,[2]Sheet1!$R$2:$AX$20,33,0)</f>
        <v>#N/A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s="2">
        <v>0</v>
      </c>
      <c r="Z232" t="s">
        <v>9</v>
      </c>
      <c r="AA232" t="s">
        <v>9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t="s">
        <v>9</v>
      </c>
      <c r="AQ232" t="s">
        <v>9</v>
      </c>
      <c r="AR232" t="s">
        <v>9</v>
      </c>
      <c r="CZ232" t="s">
        <v>125</v>
      </c>
    </row>
    <row r="233" spans="1:104" x14ac:dyDescent="0.25">
      <c r="A233" t="s">
        <v>111</v>
      </c>
      <c r="B233" t="s">
        <v>513</v>
      </c>
      <c r="C233" t="s">
        <v>32</v>
      </c>
      <c r="D233" t="s">
        <v>3</v>
      </c>
      <c r="E233" t="s">
        <v>4</v>
      </c>
      <c r="F233" t="s">
        <v>5</v>
      </c>
      <c r="G233" t="s">
        <v>6</v>
      </c>
      <c r="H233" s="2">
        <v>50000</v>
      </c>
      <c r="I233" s="2">
        <v>50000</v>
      </c>
      <c r="J233" s="2">
        <v>0</v>
      </c>
      <c r="K233" s="2">
        <v>50000</v>
      </c>
      <c r="L233" t="s">
        <v>7</v>
      </c>
      <c r="M233" t="s">
        <v>8</v>
      </c>
      <c r="N233" t="s">
        <v>9</v>
      </c>
      <c r="O233" t="s">
        <v>9</v>
      </c>
      <c r="P233" t="s">
        <v>9</v>
      </c>
      <c r="Q233" t="s">
        <v>646</v>
      </c>
      <c r="R233" t="str">
        <f t="shared" si="4"/>
        <v>11100100200000003DIPIKA</v>
      </c>
      <c r="S233" t="e">
        <f>VLOOKUP(R233,[2]Sheet1!$R$2:$AX$20,33,0)</f>
        <v>#N/A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s="2">
        <v>0</v>
      </c>
      <c r="Z233" t="s">
        <v>9</v>
      </c>
      <c r="AA233" t="s">
        <v>9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t="s">
        <v>9</v>
      </c>
      <c r="AQ233" t="s">
        <v>9</v>
      </c>
      <c r="AR233" t="s">
        <v>9</v>
      </c>
      <c r="CZ233" t="s">
        <v>114</v>
      </c>
    </row>
    <row r="234" spans="1:104" x14ac:dyDescent="0.25">
      <c r="A234" t="s">
        <v>111</v>
      </c>
      <c r="B234" t="s">
        <v>515</v>
      </c>
      <c r="C234" t="s">
        <v>112</v>
      </c>
      <c r="D234" t="s">
        <v>3</v>
      </c>
      <c r="E234" t="s">
        <v>4</v>
      </c>
      <c r="F234" t="s">
        <v>5</v>
      </c>
      <c r="G234" t="s">
        <v>6</v>
      </c>
      <c r="H234" s="2">
        <v>690000</v>
      </c>
      <c r="I234" s="2">
        <v>690000</v>
      </c>
      <c r="J234" s="2">
        <v>0</v>
      </c>
      <c r="K234" s="2">
        <v>690000</v>
      </c>
      <c r="L234" t="s">
        <v>7</v>
      </c>
      <c r="M234" t="s">
        <v>8</v>
      </c>
      <c r="N234" t="s">
        <v>113</v>
      </c>
      <c r="O234" t="s">
        <v>9</v>
      </c>
      <c r="P234" t="s">
        <v>9</v>
      </c>
      <c r="Q234" t="s">
        <v>10</v>
      </c>
      <c r="R234" t="str">
        <f t="shared" si="4"/>
        <v>24430000200000003DIPIKA</v>
      </c>
      <c r="S234" t="e">
        <f>VLOOKUP(R234,[2]Sheet1!$R$2:$AX$20,33,0)</f>
        <v>#N/A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s="2">
        <v>0</v>
      </c>
      <c r="Z234" t="s">
        <v>9</v>
      </c>
      <c r="AA234" t="s">
        <v>9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t="s">
        <v>9</v>
      </c>
      <c r="AQ234" t="s">
        <v>9</v>
      </c>
      <c r="AR234" t="s">
        <v>9</v>
      </c>
      <c r="CZ234" t="s">
        <v>114</v>
      </c>
    </row>
    <row r="235" spans="1:104" x14ac:dyDescent="0.25">
      <c r="A235" t="s">
        <v>111</v>
      </c>
      <c r="B235" t="s">
        <v>515</v>
      </c>
      <c r="C235" t="s">
        <v>54</v>
      </c>
      <c r="D235" t="s">
        <v>3</v>
      </c>
      <c r="E235" t="s">
        <v>4</v>
      </c>
      <c r="F235" t="s">
        <v>5</v>
      </c>
      <c r="G235" t="s">
        <v>6</v>
      </c>
      <c r="H235" s="2">
        <v>20000</v>
      </c>
      <c r="I235" s="2">
        <v>20000</v>
      </c>
      <c r="J235" s="2">
        <v>0</v>
      </c>
      <c r="K235" s="2">
        <v>20000</v>
      </c>
      <c r="L235" t="s">
        <v>7</v>
      </c>
      <c r="M235" t="s">
        <v>8</v>
      </c>
      <c r="N235" t="s">
        <v>647</v>
      </c>
      <c r="O235" t="s">
        <v>9</v>
      </c>
      <c r="P235" t="s">
        <v>9</v>
      </c>
      <c r="Q235" t="s">
        <v>10</v>
      </c>
      <c r="R235" t="str">
        <f t="shared" si="4"/>
        <v>24430000200000003DIPIKA</v>
      </c>
      <c r="S235" t="e">
        <f>VLOOKUP(R235,[2]Sheet1!$R$2:$AX$20,33,0)</f>
        <v>#N/A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s="2">
        <v>0</v>
      </c>
      <c r="Z235" t="s">
        <v>9</v>
      </c>
      <c r="AA235" t="s">
        <v>9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t="s">
        <v>9</v>
      </c>
      <c r="AQ235" t="s">
        <v>9</v>
      </c>
      <c r="AR235" t="s">
        <v>9</v>
      </c>
      <c r="CZ235" t="s">
        <v>114</v>
      </c>
    </row>
    <row r="236" spans="1:104" x14ac:dyDescent="0.25">
      <c r="A236" t="s">
        <v>111</v>
      </c>
      <c r="B236" t="s">
        <v>515</v>
      </c>
      <c r="C236" t="s">
        <v>99</v>
      </c>
      <c r="D236" t="s">
        <v>3</v>
      </c>
      <c r="E236" t="s">
        <v>4</v>
      </c>
      <c r="F236" t="s">
        <v>5</v>
      </c>
      <c r="G236" t="s">
        <v>6</v>
      </c>
      <c r="H236" s="2">
        <v>1000</v>
      </c>
      <c r="I236" s="2">
        <v>1000</v>
      </c>
      <c r="J236" s="2">
        <v>0</v>
      </c>
      <c r="K236" s="2">
        <v>1000</v>
      </c>
      <c r="L236" t="s">
        <v>7</v>
      </c>
      <c r="M236" t="s">
        <v>9</v>
      </c>
      <c r="N236" t="s">
        <v>9</v>
      </c>
      <c r="O236" t="s">
        <v>9</v>
      </c>
      <c r="P236" t="s">
        <v>9</v>
      </c>
      <c r="Q236" t="s">
        <v>10</v>
      </c>
      <c r="R236" t="str">
        <f t="shared" si="4"/>
        <v>24430000165DIPIKA</v>
      </c>
      <c r="S236" t="e">
        <f>VLOOKUP(R236,[2]Sheet1!$R$2:$AX$20,33,0)</f>
        <v>#N/A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s="2">
        <v>0</v>
      </c>
      <c r="Z236" t="s">
        <v>9</v>
      </c>
      <c r="AA236" t="s">
        <v>9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t="s">
        <v>9</v>
      </c>
      <c r="AQ236" t="s">
        <v>9</v>
      </c>
      <c r="AR236" t="s">
        <v>9</v>
      </c>
      <c r="CZ236" t="s">
        <v>125</v>
      </c>
    </row>
    <row r="237" spans="1:104" x14ac:dyDescent="0.25">
      <c r="A237" t="s">
        <v>111</v>
      </c>
      <c r="B237" t="s">
        <v>515</v>
      </c>
      <c r="C237" t="s">
        <v>32</v>
      </c>
      <c r="D237" t="s">
        <v>3</v>
      </c>
      <c r="E237" t="s">
        <v>4</v>
      </c>
      <c r="F237" t="s">
        <v>5</v>
      </c>
      <c r="G237" t="s">
        <v>6</v>
      </c>
      <c r="H237" s="2">
        <v>154000</v>
      </c>
      <c r="I237" s="2">
        <v>154000</v>
      </c>
      <c r="J237" s="2">
        <v>0</v>
      </c>
      <c r="K237" s="2">
        <v>154000</v>
      </c>
      <c r="L237" t="s">
        <v>7</v>
      </c>
      <c r="M237" t="s">
        <v>8</v>
      </c>
      <c r="N237" t="s">
        <v>9</v>
      </c>
      <c r="O237" t="s">
        <v>9</v>
      </c>
      <c r="P237" t="s">
        <v>9</v>
      </c>
      <c r="Q237" t="s">
        <v>646</v>
      </c>
      <c r="R237" t="str">
        <f t="shared" si="4"/>
        <v>11100100200000003DIPIKA</v>
      </c>
      <c r="S237" t="e">
        <f>VLOOKUP(R237,[2]Sheet1!$R$2:$AX$20,33,0)</f>
        <v>#N/A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s="2">
        <v>0</v>
      </c>
      <c r="Z237" t="s">
        <v>9</v>
      </c>
      <c r="AA237" t="s">
        <v>9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t="s">
        <v>9</v>
      </c>
      <c r="AQ237" t="s">
        <v>9</v>
      </c>
      <c r="AR237" t="s">
        <v>9</v>
      </c>
      <c r="CZ237" t="s">
        <v>114</v>
      </c>
    </row>
    <row r="238" spans="1:104" x14ac:dyDescent="0.25">
      <c r="A238" t="s">
        <v>111</v>
      </c>
      <c r="B238" t="s">
        <v>516</v>
      </c>
      <c r="C238" t="s">
        <v>112</v>
      </c>
      <c r="D238" t="s">
        <v>3</v>
      </c>
      <c r="E238" t="s">
        <v>4</v>
      </c>
      <c r="F238" t="s">
        <v>5</v>
      </c>
      <c r="G238" t="s">
        <v>6</v>
      </c>
      <c r="H238" s="2">
        <v>460000</v>
      </c>
      <c r="I238" s="2">
        <v>460000</v>
      </c>
      <c r="J238" s="2">
        <v>0</v>
      </c>
      <c r="K238" s="2">
        <v>460000</v>
      </c>
      <c r="L238" t="s">
        <v>7</v>
      </c>
      <c r="M238" t="s">
        <v>8</v>
      </c>
      <c r="N238" t="s">
        <v>9</v>
      </c>
      <c r="O238" t="s">
        <v>9</v>
      </c>
      <c r="P238" t="s">
        <v>9</v>
      </c>
      <c r="Q238" t="s">
        <v>10</v>
      </c>
      <c r="R238" t="str">
        <f t="shared" si="4"/>
        <v>24430000200000003DIPIKA</v>
      </c>
      <c r="S238" t="e">
        <f>VLOOKUP(R238,[2]Sheet1!$R$2:$AX$20,33,0)</f>
        <v>#N/A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s="2">
        <v>0</v>
      </c>
      <c r="Z238" t="s">
        <v>9</v>
      </c>
      <c r="AA238" t="s">
        <v>9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t="s">
        <v>9</v>
      </c>
      <c r="AQ238" t="s">
        <v>9</v>
      </c>
      <c r="AR238" t="s">
        <v>9</v>
      </c>
      <c r="CZ238" t="s">
        <v>114</v>
      </c>
    </row>
    <row r="239" spans="1:104" x14ac:dyDescent="0.25">
      <c r="A239" t="s">
        <v>111</v>
      </c>
      <c r="B239" t="s">
        <v>516</v>
      </c>
      <c r="C239" t="s">
        <v>54</v>
      </c>
      <c r="D239" t="s">
        <v>3</v>
      </c>
      <c r="E239" t="s">
        <v>4</v>
      </c>
      <c r="F239" t="s">
        <v>5</v>
      </c>
      <c r="G239" t="s">
        <v>6</v>
      </c>
      <c r="H239" s="2">
        <v>100000</v>
      </c>
      <c r="I239" s="2">
        <v>100000</v>
      </c>
      <c r="J239" s="2">
        <v>0</v>
      </c>
      <c r="K239" s="2">
        <v>100000</v>
      </c>
      <c r="L239" t="s">
        <v>7</v>
      </c>
      <c r="M239" t="s">
        <v>8</v>
      </c>
      <c r="N239" t="s">
        <v>9</v>
      </c>
      <c r="O239" t="s">
        <v>9</v>
      </c>
      <c r="P239" t="s">
        <v>9</v>
      </c>
      <c r="Q239" t="s">
        <v>10</v>
      </c>
      <c r="R239" t="str">
        <f t="shared" si="4"/>
        <v>24430000200000003DIPIKA</v>
      </c>
      <c r="S239" t="e">
        <f>VLOOKUP(R239,[2]Sheet1!$R$2:$AX$20,33,0)</f>
        <v>#N/A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s="2">
        <v>0</v>
      </c>
      <c r="Z239" t="s">
        <v>9</v>
      </c>
      <c r="AA239" t="s">
        <v>9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t="s">
        <v>9</v>
      </c>
      <c r="AQ239" t="s">
        <v>9</v>
      </c>
      <c r="AR239" t="s">
        <v>9</v>
      </c>
      <c r="CZ239" t="s">
        <v>114</v>
      </c>
    </row>
    <row r="240" spans="1:104" x14ac:dyDescent="0.25">
      <c r="A240" t="s">
        <v>111</v>
      </c>
      <c r="B240" t="s">
        <v>516</v>
      </c>
      <c r="C240" t="s">
        <v>99</v>
      </c>
      <c r="D240" t="s">
        <v>3</v>
      </c>
      <c r="E240" t="s">
        <v>4</v>
      </c>
      <c r="F240" t="s">
        <v>5</v>
      </c>
      <c r="G240" t="s">
        <v>6</v>
      </c>
      <c r="H240" s="2">
        <v>1000</v>
      </c>
      <c r="I240" s="2">
        <v>1000</v>
      </c>
      <c r="J240" s="2">
        <v>0</v>
      </c>
      <c r="K240" s="2">
        <v>1000</v>
      </c>
      <c r="L240" t="s">
        <v>7</v>
      </c>
      <c r="M240" t="s">
        <v>9</v>
      </c>
      <c r="N240" t="s">
        <v>9</v>
      </c>
      <c r="O240" t="s">
        <v>9</v>
      </c>
      <c r="P240" t="s">
        <v>9</v>
      </c>
      <c r="Q240" t="s">
        <v>10</v>
      </c>
      <c r="R240" t="str">
        <f t="shared" si="4"/>
        <v>24430000165DIPIKA</v>
      </c>
      <c r="S240" t="e">
        <f>VLOOKUP(R240,[2]Sheet1!$R$2:$AX$20,33,0)</f>
        <v>#N/A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s="2">
        <v>0</v>
      </c>
      <c r="Z240" t="s">
        <v>9</v>
      </c>
      <c r="AA240" t="s">
        <v>9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t="s">
        <v>9</v>
      </c>
      <c r="AQ240" t="s">
        <v>9</v>
      </c>
      <c r="AR240" t="s">
        <v>9</v>
      </c>
      <c r="CZ240" t="s">
        <v>125</v>
      </c>
    </row>
    <row r="241" spans="1:104" x14ac:dyDescent="0.25">
      <c r="A241" t="s">
        <v>111</v>
      </c>
      <c r="B241" t="s">
        <v>516</v>
      </c>
      <c r="C241" t="s">
        <v>32</v>
      </c>
      <c r="D241" t="s">
        <v>3</v>
      </c>
      <c r="E241" t="s">
        <v>4</v>
      </c>
      <c r="F241" t="s">
        <v>5</v>
      </c>
      <c r="G241" t="s">
        <v>6</v>
      </c>
      <c r="H241" s="2">
        <v>87000</v>
      </c>
      <c r="I241" s="2">
        <v>87000</v>
      </c>
      <c r="J241" s="2">
        <v>0</v>
      </c>
      <c r="K241" s="2">
        <v>87000</v>
      </c>
      <c r="L241" t="s">
        <v>7</v>
      </c>
      <c r="M241" t="s">
        <v>8</v>
      </c>
      <c r="N241" t="s">
        <v>9</v>
      </c>
      <c r="O241" t="s">
        <v>9</v>
      </c>
      <c r="P241" t="s">
        <v>9</v>
      </c>
      <c r="Q241" t="s">
        <v>10</v>
      </c>
      <c r="R241" t="str">
        <f t="shared" si="4"/>
        <v>24430000200000003DIPIKA</v>
      </c>
      <c r="S241" t="e">
        <f>VLOOKUP(R241,[2]Sheet1!$R$2:$AX$20,33,0)</f>
        <v>#N/A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s="2">
        <v>0</v>
      </c>
      <c r="Z241" t="s">
        <v>9</v>
      </c>
      <c r="AA241" t="s">
        <v>9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t="s">
        <v>9</v>
      </c>
      <c r="AQ241" t="s">
        <v>9</v>
      </c>
      <c r="AR241" t="s">
        <v>9</v>
      </c>
      <c r="CZ241" t="s">
        <v>114</v>
      </c>
    </row>
    <row r="242" spans="1:104" x14ac:dyDescent="0.25">
      <c r="A242" t="s">
        <v>111</v>
      </c>
      <c r="B242" t="s">
        <v>24</v>
      </c>
      <c r="C242" t="s">
        <v>112</v>
      </c>
      <c r="D242" t="s">
        <v>3</v>
      </c>
      <c r="E242" t="s">
        <v>4</v>
      </c>
      <c r="F242" t="s">
        <v>5</v>
      </c>
      <c r="G242" t="s">
        <v>6</v>
      </c>
      <c r="H242" s="2">
        <v>230000</v>
      </c>
      <c r="I242" s="2">
        <v>230000</v>
      </c>
      <c r="J242" s="2">
        <v>0</v>
      </c>
      <c r="K242" s="2">
        <v>230000</v>
      </c>
      <c r="L242" t="s">
        <v>7</v>
      </c>
      <c r="M242" t="s">
        <v>8</v>
      </c>
      <c r="N242" t="s">
        <v>113</v>
      </c>
      <c r="O242" t="s">
        <v>9</v>
      </c>
      <c r="P242" t="s">
        <v>9</v>
      </c>
      <c r="Q242" t="s">
        <v>10</v>
      </c>
      <c r="R242" t="str">
        <f t="shared" si="4"/>
        <v>24430000200000003DIPIKA</v>
      </c>
      <c r="S242" t="e">
        <f>VLOOKUP(R242,[2]Sheet1!$R$2:$AX$20,33,0)</f>
        <v>#N/A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s="2">
        <v>0</v>
      </c>
      <c r="Z242" t="s">
        <v>9</v>
      </c>
      <c r="AA242" t="s">
        <v>9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t="s">
        <v>9</v>
      </c>
      <c r="AQ242" t="s">
        <v>9</v>
      </c>
      <c r="AR242" t="s">
        <v>9</v>
      </c>
      <c r="CZ242" t="s">
        <v>114</v>
      </c>
    </row>
    <row r="243" spans="1:104" x14ac:dyDescent="0.25">
      <c r="A243" t="s">
        <v>111</v>
      </c>
      <c r="B243" t="s">
        <v>24</v>
      </c>
      <c r="C243" t="s">
        <v>54</v>
      </c>
      <c r="D243" t="s">
        <v>3</v>
      </c>
      <c r="E243" t="s">
        <v>4</v>
      </c>
      <c r="F243" t="s">
        <v>5</v>
      </c>
      <c r="G243" t="s">
        <v>6</v>
      </c>
      <c r="H243" s="2">
        <v>100000</v>
      </c>
      <c r="I243" s="2">
        <v>100000</v>
      </c>
      <c r="J243" s="2">
        <v>0</v>
      </c>
      <c r="K243" s="2">
        <v>100000</v>
      </c>
      <c r="L243" t="s">
        <v>7</v>
      </c>
      <c r="M243" t="s">
        <v>8</v>
      </c>
      <c r="N243" t="s">
        <v>9</v>
      </c>
      <c r="O243" t="s">
        <v>9</v>
      </c>
      <c r="P243" t="s">
        <v>9</v>
      </c>
      <c r="Q243" t="s">
        <v>10</v>
      </c>
      <c r="R243" t="str">
        <f t="shared" si="4"/>
        <v>2443000010DIPIKA</v>
      </c>
      <c r="S243" t="e">
        <f>VLOOKUP(R243,[2]Sheet1!$R$2:$AX$20,33,0)</f>
        <v>#N/A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s="2">
        <v>0</v>
      </c>
      <c r="Z243" t="s">
        <v>9</v>
      </c>
      <c r="AA243" t="s">
        <v>9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t="s">
        <v>9</v>
      </c>
      <c r="AQ243" t="s">
        <v>9</v>
      </c>
      <c r="AR243" t="s">
        <v>9</v>
      </c>
      <c r="CZ243" t="s">
        <v>119</v>
      </c>
    </row>
    <row r="244" spans="1:104" x14ac:dyDescent="0.25">
      <c r="A244" t="s">
        <v>111</v>
      </c>
      <c r="B244" t="s">
        <v>24</v>
      </c>
      <c r="C244" t="s">
        <v>99</v>
      </c>
      <c r="D244" t="s">
        <v>3</v>
      </c>
      <c r="E244" t="s">
        <v>4</v>
      </c>
      <c r="F244" t="s">
        <v>5</v>
      </c>
      <c r="G244" t="s">
        <v>6</v>
      </c>
      <c r="H244" s="2">
        <v>10000</v>
      </c>
      <c r="I244" s="2">
        <v>10000</v>
      </c>
      <c r="J244" s="2">
        <v>0</v>
      </c>
      <c r="K244" s="2">
        <v>10000</v>
      </c>
      <c r="L244" t="s">
        <v>7</v>
      </c>
      <c r="M244" t="s">
        <v>9</v>
      </c>
      <c r="N244" t="s">
        <v>124</v>
      </c>
      <c r="O244" t="s">
        <v>9</v>
      </c>
      <c r="P244" t="s">
        <v>9</v>
      </c>
      <c r="Q244" t="s">
        <v>10</v>
      </c>
      <c r="R244" t="str">
        <f t="shared" si="4"/>
        <v>24430000165DIPIKA</v>
      </c>
      <c r="S244" t="e">
        <f>VLOOKUP(R244,[2]Sheet1!$R$2:$AX$20,33,0)</f>
        <v>#N/A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s="2">
        <v>0</v>
      </c>
      <c r="Z244" t="s">
        <v>9</v>
      </c>
      <c r="AA244" t="s">
        <v>9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t="s">
        <v>9</v>
      </c>
      <c r="AQ244" t="s">
        <v>9</v>
      </c>
      <c r="AR244" t="s">
        <v>9</v>
      </c>
      <c r="CZ244" t="s">
        <v>125</v>
      </c>
    </row>
    <row r="245" spans="1:104" x14ac:dyDescent="0.25">
      <c r="A245" t="s">
        <v>111</v>
      </c>
      <c r="B245" t="s">
        <v>24</v>
      </c>
      <c r="C245" t="s">
        <v>99</v>
      </c>
      <c r="D245" t="s">
        <v>123</v>
      </c>
      <c r="E245" t="s">
        <v>4</v>
      </c>
      <c r="F245" t="s">
        <v>5</v>
      </c>
      <c r="G245" t="s">
        <v>6</v>
      </c>
      <c r="H245" s="2">
        <v>1000</v>
      </c>
      <c r="I245" s="2">
        <v>1000</v>
      </c>
      <c r="J245" s="2">
        <v>0</v>
      </c>
      <c r="K245" s="2">
        <v>1000</v>
      </c>
      <c r="L245" t="s">
        <v>7</v>
      </c>
      <c r="M245" t="s">
        <v>9</v>
      </c>
      <c r="N245" t="s">
        <v>124</v>
      </c>
      <c r="O245" t="s">
        <v>9</v>
      </c>
      <c r="P245" t="s">
        <v>9</v>
      </c>
      <c r="Q245" t="s">
        <v>10</v>
      </c>
      <c r="R245" t="str">
        <f t="shared" si="4"/>
        <v>24430000165DIPIKA</v>
      </c>
      <c r="S245" t="e">
        <f>VLOOKUP(R245,[2]Sheet1!$R$2:$AX$20,33,0)</f>
        <v>#N/A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s="2">
        <v>0</v>
      </c>
      <c r="Z245" t="s">
        <v>9</v>
      </c>
      <c r="AA245" t="s">
        <v>9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t="s">
        <v>9</v>
      </c>
      <c r="AQ245" t="s">
        <v>9</v>
      </c>
      <c r="AR245" t="s">
        <v>9</v>
      </c>
      <c r="CZ245" t="s">
        <v>125</v>
      </c>
    </row>
    <row r="246" spans="1:104" x14ac:dyDescent="0.25">
      <c r="A246" t="s">
        <v>111</v>
      </c>
      <c r="B246" t="s">
        <v>24</v>
      </c>
      <c r="C246" t="s">
        <v>32</v>
      </c>
      <c r="D246" t="s">
        <v>3</v>
      </c>
      <c r="E246" t="s">
        <v>4</v>
      </c>
      <c r="F246" t="s">
        <v>5</v>
      </c>
      <c r="G246" t="s">
        <v>6</v>
      </c>
      <c r="H246" s="2">
        <v>65000</v>
      </c>
      <c r="I246" s="2">
        <v>65000</v>
      </c>
      <c r="J246" s="2">
        <v>0</v>
      </c>
      <c r="K246" s="2">
        <v>65000</v>
      </c>
      <c r="L246" t="s">
        <v>7</v>
      </c>
      <c r="M246" t="s">
        <v>8</v>
      </c>
      <c r="N246" t="s">
        <v>9</v>
      </c>
      <c r="O246" t="s">
        <v>9</v>
      </c>
      <c r="P246" t="s">
        <v>9</v>
      </c>
      <c r="Q246" t="s">
        <v>10</v>
      </c>
      <c r="R246" t="str">
        <f t="shared" si="4"/>
        <v>24430000200000003DIPIKA</v>
      </c>
      <c r="S246" t="e">
        <f>VLOOKUP(R246,[2]Sheet1!$R$2:$AX$20,33,0)</f>
        <v>#N/A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s="2">
        <v>0</v>
      </c>
      <c r="Z246" t="s">
        <v>9</v>
      </c>
      <c r="AA246" t="s">
        <v>9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t="s">
        <v>9</v>
      </c>
      <c r="AQ246" t="s">
        <v>9</v>
      </c>
      <c r="AR246" t="s">
        <v>9</v>
      </c>
      <c r="CZ246" t="s">
        <v>114</v>
      </c>
    </row>
    <row r="247" spans="1:104" x14ac:dyDescent="0.25">
      <c r="A247" t="s">
        <v>111</v>
      </c>
      <c r="B247" t="s">
        <v>518</v>
      </c>
      <c r="C247" t="s">
        <v>112</v>
      </c>
      <c r="D247" t="s">
        <v>3</v>
      </c>
      <c r="E247" t="s">
        <v>4</v>
      </c>
      <c r="F247" t="s">
        <v>5</v>
      </c>
      <c r="G247" t="s">
        <v>6</v>
      </c>
      <c r="H247" s="2">
        <v>805000</v>
      </c>
      <c r="I247" s="2">
        <v>805000</v>
      </c>
      <c r="J247" s="2">
        <v>0</v>
      </c>
      <c r="K247" s="2">
        <v>805000</v>
      </c>
      <c r="L247" t="s">
        <v>7</v>
      </c>
      <c r="M247" t="s">
        <v>8</v>
      </c>
      <c r="N247" t="s">
        <v>113</v>
      </c>
      <c r="O247" t="s">
        <v>9</v>
      </c>
      <c r="P247" t="s">
        <v>9</v>
      </c>
      <c r="Q247" t="s">
        <v>10</v>
      </c>
      <c r="R247" t="str">
        <f t="shared" si="4"/>
        <v>24430000200000003DIPIKA</v>
      </c>
      <c r="S247" t="e">
        <f>VLOOKUP(R247,[2]Sheet1!$R$2:$AX$20,33,0)</f>
        <v>#N/A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s="2">
        <v>0</v>
      </c>
      <c r="Z247" t="s">
        <v>9</v>
      </c>
      <c r="AA247" t="s">
        <v>9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t="s">
        <v>9</v>
      </c>
      <c r="AQ247" t="s">
        <v>9</v>
      </c>
      <c r="AR247" t="s">
        <v>9</v>
      </c>
      <c r="CZ247" t="s">
        <v>114</v>
      </c>
    </row>
    <row r="248" spans="1:104" x14ac:dyDescent="0.25">
      <c r="A248" t="s">
        <v>111</v>
      </c>
      <c r="B248" t="s">
        <v>518</v>
      </c>
      <c r="C248" t="s">
        <v>54</v>
      </c>
      <c r="D248" t="s">
        <v>3</v>
      </c>
      <c r="E248" t="s">
        <v>4</v>
      </c>
      <c r="F248" t="s">
        <v>5</v>
      </c>
      <c r="G248" t="s">
        <v>6</v>
      </c>
      <c r="H248" s="2">
        <v>120000</v>
      </c>
      <c r="I248" s="2">
        <v>120000</v>
      </c>
      <c r="J248" s="2">
        <v>0</v>
      </c>
      <c r="K248" s="2">
        <v>120000</v>
      </c>
      <c r="L248" t="s">
        <v>7</v>
      </c>
      <c r="M248" t="s">
        <v>8</v>
      </c>
      <c r="N248" t="s">
        <v>648</v>
      </c>
      <c r="O248" t="s">
        <v>9</v>
      </c>
      <c r="P248" t="s">
        <v>9</v>
      </c>
      <c r="Q248" t="s">
        <v>10</v>
      </c>
      <c r="R248" t="str">
        <f t="shared" si="4"/>
        <v>24430000169DIPIKA</v>
      </c>
      <c r="S248" t="e">
        <f>VLOOKUP(R248,[2]Sheet1!$R$2:$AX$20,33,0)</f>
        <v>#N/A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s="2">
        <v>0</v>
      </c>
      <c r="Z248" t="s">
        <v>9</v>
      </c>
      <c r="AA248" t="s">
        <v>9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t="s">
        <v>9</v>
      </c>
      <c r="AQ248" t="s">
        <v>9</v>
      </c>
      <c r="AR248" t="s">
        <v>9</v>
      </c>
      <c r="CZ248" t="s">
        <v>701</v>
      </c>
    </row>
    <row r="249" spans="1:104" x14ac:dyDescent="0.25">
      <c r="A249" t="s">
        <v>111</v>
      </c>
      <c r="B249" t="s">
        <v>518</v>
      </c>
      <c r="C249" t="s">
        <v>99</v>
      </c>
      <c r="D249" t="s">
        <v>3</v>
      </c>
      <c r="E249" t="s">
        <v>4</v>
      </c>
      <c r="F249" t="s">
        <v>5</v>
      </c>
      <c r="G249" t="s">
        <v>6</v>
      </c>
      <c r="H249" s="2">
        <v>10000</v>
      </c>
      <c r="I249" s="2">
        <v>10000</v>
      </c>
      <c r="J249" s="2">
        <v>0</v>
      </c>
      <c r="K249" s="2">
        <v>10000</v>
      </c>
      <c r="L249" t="s">
        <v>7</v>
      </c>
      <c r="M249" t="s">
        <v>9</v>
      </c>
      <c r="N249" t="s">
        <v>124</v>
      </c>
      <c r="O249" t="s">
        <v>9</v>
      </c>
      <c r="P249" t="s">
        <v>9</v>
      </c>
      <c r="Q249" t="s">
        <v>10</v>
      </c>
      <c r="R249" t="str">
        <f t="shared" si="4"/>
        <v>24430000165DIPIKA</v>
      </c>
      <c r="S249" t="e">
        <f>VLOOKUP(R249,[2]Sheet1!$R$2:$AX$20,33,0)</f>
        <v>#N/A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s="2">
        <v>0</v>
      </c>
      <c r="Z249" t="s">
        <v>9</v>
      </c>
      <c r="AA249" t="s">
        <v>9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t="s">
        <v>9</v>
      </c>
      <c r="AQ249" t="s">
        <v>9</v>
      </c>
      <c r="AR249" t="s">
        <v>9</v>
      </c>
      <c r="CZ249" t="s">
        <v>125</v>
      </c>
    </row>
    <row r="250" spans="1:104" x14ac:dyDescent="0.25">
      <c r="A250" t="s">
        <v>111</v>
      </c>
      <c r="B250" t="s">
        <v>518</v>
      </c>
      <c r="C250" t="s">
        <v>99</v>
      </c>
      <c r="D250" t="s">
        <v>123</v>
      </c>
      <c r="E250" t="s">
        <v>4</v>
      </c>
      <c r="F250" t="s">
        <v>5</v>
      </c>
      <c r="G250" t="s">
        <v>6</v>
      </c>
      <c r="H250" s="2">
        <v>1000</v>
      </c>
      <c r="I250" s="2">
        <v>1000</v>
      </c>
      <c r="J250" s="2">
        <v>0</v>
      </c>
      <c r="K250" s="2">
        <v>1000</v>
      </c>
      <c r="L250" t="s">
        <v>7</v>
      </c>
      <c r="M250" t="s">
        <v>9</v>
      </c>
      <c r="N250" t="s">
        <v>124</v>
      </c>
      <c r="O250" t="s">
        <v>9</v>
      </c>
      <c r="P250" t="s">
        <v>9</v>
      </c>
      <c r="Q250" t="s">
        <v>10</v>
      </c>
      <c r="R250" t="str">
        <f t="shared" si="4"/>
        <v>24430000165DIPIKA</v>
      </c>
      <c r="S250" t="e">
        <f>VLOOKUP(R250,[2]Sheet1!$R$2:$AX$20,33,0)</f>
        <v>#N/A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s="2">
        <v>0</v>
      </c>
      <c r="Z250" t="s">
        <v>9</v>
      </c>
      <c r="AA250" t="s">
        <v>9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t="s">
        <v>9</v>
      </c>
      <c r="AQ250" t="s">
        <v>9</v>
      </c>
      <c r="AR250" t="s">
        <v>9</v>
      </c>
      <c r="CZ250" t="s">
        <v>125</v>
      </c>
    </row>
    <row r="251" spans="1:104" x14ac:dyDescent="0.25">
      <c r="A251" t="s">
        <v>111</v>
      </c>
      <c r="B251" t="s">
        <v>518</v>
      </c>
      <c r="C251" t="s">
        <v>32</v>
      </c>
      <c r="D251" t="s">
        <v>3</v>
      </c>
      <c r="E251" t="s">
        <v>4</v>
      </c>
      <c r="F251" t="s">
        <v>5</v>
      </c>
      <c r="G251" t="s">
        <v>6</v>
      </c>
      <c r="H251" s="2">
        <v>50000</v>
      </c>
      <c r="I251" s="2">
        <v>50000</v>
      </c>
      <c r="J251" s="2">
        <v>0</v>
      </c>
      <c r="K251" s="2">
        <v>50000</v>
      </c>
      <c r="L251" t="s">
        <v>7</v>
      </c>
      <c r="M251" t="s">
        <v>8</v>
      </c>
      <c r="N251" t="s">
        <v>9</v>
      </c>
      <c r="O251" t="s">
        <v>9</v>
      </c>
      <c r="P251" t="s">
        <v>9</v>
      </c>
      <c r="Q251" t="s">
        <v>646</v>
      </c>
      <c r="R251" t="str">
        <f t="shared" si="4"/>
        <v>1110010012DIPIKA</v>
      </c>
      <c r="S251" t="e">
        <f>VLOOKUP(R251,[2]Sheet1!$R$2:$AX$20,33,0)</f>
        <v>#N/A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s="2">
        <v>0</v>
      </c>
      <c r="Z251" t="s">
        <v>9</v>
      </c>
      <c r="AA251" t="s">
        <v>9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t="s">
        <v>9</v>
      </c>
      <c r="AQ251" t="s">
        <v>9</v>
      </c>
      <c r="AR251" t="s">
        <v>9</v>
      </c>
      <c r="CZ251" t="s">
        <v>75</v>
      </c>
    </row>
    <row r="252" spans="1:104" x14ac:dyDescent="0.25">
      <c r="A252" t="s">
        <v>111</v>
      </c>
      <c r="B252" t="s">
        <v>519</v>
      </c>
      <c r="C252" t="s">
        <v>112</v>
      </c>
      <c r="D252" t="s">
        <v>3</v>
      </c>
      <c r="E252" t="s">
        <v>4</v>
      </c>
      <c r="F252" t="s">
        <v>5</v>
      </c>
      <c r="G252" t="s">
        <v>6</v>
      </c>
      <c r="H252" s="2">
        <v>920000</v>
      </c>
      <c r="I252" s="2">
        <v>920000</v>
      </c>
      <c r="J252" s="2">
        <v>0</v>
      </c>
      <c r="K252" s="2">
        <v>920000</v>
      </c>
      <c r="L252" t="s">
        <v>7</v>
      </c>
      <c r="M252" t="s">
        <v>8</v>
      </c>
      <c r="N252" t="s">
        <v>113</v>
      </c>
      <c r="O252" t="s">
        <v>9</v>
      </c>
      <c r="P252" t="s">
        <v>9</v>
      </c>
      <c r="Q252" t="s">
        <v>10</v>
      </c>
      <c r="R252" t="str">
        <f t="shared" si="4"/>
        <v>24430000200000003DIPIKA</v>
      </c>
      <c r="S252" t="e">
        <f>VLOOKUP(R252,[2]Sheet1!$R$2:$AX$20,33,0)</f>
        <v>#N/A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s="2">
        <v>0</v>
      </c>
      <c r="Z252" t="s">
        <v>9</v>
      </c>
      <c r="AA252" t="s">
        <v>9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t="s">
        <v>9</v>
      </c>
      <c r="AQ252" t="s">
        <v>9</v>
      </c>
      <c r="AR252" t="s">
        <v>9</v>
      </c>
      <c r="CZ252" t="s">
        <v>114</v>
      </c>
    </row>
    <row r="253" spans="1:104" x14ac:dyDescent="0.25">
      <c r="A253" t="s">
        <v>111</v>
      </c>
      <c r="B253" t="s">
        <v>519</v>
      </c>
      <c r="C253" t="s">
        <v>54</v>
      </c>
      <c r="D253" t="s">
        <v>3</v>
      </c>
      <c r="E253" t="s">
        <v>4</v>
      </c>
      <c r="F253" t="s">
        <v>5</v>
      </c>
      <c r="G253" t="s">
        <v>6</v>
      </c>
      <c r="H253" s="2">
        <v>250000</v>
      </c>
      <c r="I253" s="2">
        <v>250000</v>
      </c>
      <c r="J253" s="2">
        <v>0</v>
      </c>
      <c r="K253" s="2">
        <v>250000</v>
      </c>
      <c r="L253" t="s">
        <v>7</v>
      </c>
      <c r="M253" t="s">
        <v>8</v>
      </c>
      <c r="N253" t="s">
        <v>647</v>
      </c>
      <c r="O253" t="s">
        <v>9</v>
      </c>
      <c r="P253" t="s">
        <v>9</v>
      </c>
      <c r="Q253" t="s">
        <v>10</v>
      </c>
      <c r="R253" t="str">
        <f t="shared" si="4"/>
        <v>24430000165DIPIKA</v>
      </c>
      <c r="S253" t="e">
        <f>VLOOKUP(R253,[2]Sheet1!$R$2:$AX$20,33,0)</f>
        <v>#N/A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s="2">
        <v>0</v>
      </c>
      <c r="Z253" t="s">
        <v>9</v>
      </c>
      <c r="AA253" t="s">
        <v>9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t="s">
        <v>9</v>
      </c>
      <c r="AQ253" t="s">
        <v>9</v>
      </c>
      <c r="AR253" t="s">
        <v>9</v>
      </c>
      <c r="CZ253" t="s">
        <v>125</v>
      </c>
    </row>
    <row r="254" spans="1:104" x14ac:dyDescent="0.25">
      <c r="A254" t="s">
        <v>111</v>
      </c>
      <c r="B254" t="s">
        <v>519</v>
      </c>
      <c r="C254" t="s">
        <v>99</v>
      </c>
      <c r="D254" t="s">
        <v>3</v>
      </c>
      <c r="E254" t="s">
        <v>4</v>
      </c>
      <c r="F254" t="s">
        <v>5</v>
      </c>
      <c r="G254" t="s">
        <v>6</v>
      </c>
      <c r="H254" s="2">
        <v>10000</v>
      </c>
      <c r="I254" s="2">
        <v>10000</v>
      </c>
      <c r="J254" s="2">
        <v>0</v>
      </c>
      <c r="K254" s="2">
        <v>10000</v>
      </c>
      <c r="L254" t="s">
        <v>7</v>
      </c>
      <c r="M254" t="s">
        <v>9</v>
      </c>
      <c r="N254" t="s">
        <v>124</v>
      </c>
      <c r="O254" t="s">
        <v>9</v>
      </c>
      <c r="P254" t="s">
        <v>9</v>
      </c>
      <c r="Q254" t="s">
        <v>10</v>
      </c>
      <c r="R254" t="str">
        <f t="shared" si="4"/>
        <v>24430000165DIPIKA</v>
      </c>
      <c r="S254" t="e">
        <f>VLOOKUP(R254,[2]Sheet1!$R$2:$AX$20,33,0)</f>
        <v>#N/A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s="2">
        <v>0</v>
      </c>
      <c r="Z254" t="s">
        <v>9</v>
      </c>
      <c r="AA254" t="s">
        <v>9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t="s">
        <v>9</v>
      </c>
      <c r="AQ254" t="s">
        <v>9</v>
      </c>
      <c r="AR254" t="s">
        <v>9</v>
      </c>
      <c r="CZ254" t="s">
        <v>125</v>
      </c>
    </row>
    <row r="255" spans="1:104" x14ac:dyDescent="0.25">
      <c r="A255" t="s">
        <v>111</v>
      </c>
      <c r="B255" t="s">
        <v>519</v>
      </c>
      <c r="C255" t="s">
        <v>99</v>
      </c>
      <c r="D255" t="s">
        <v>123</v>
      </c>
      <c r="E255" t="s">
        <v>4</v>
      </c>
      <c r="F255" t="s">
        <v>5</v>
      </c>
      <c r="G255" t="s">
        <v>6</v>
      </c>
      <c r="H255" s="2">
        <v>1000</v>
      </c>
      <c r="I255" s="2">
        <v>1000</v>
      </c>
      <c r="J255" s="2">
        <v>0</v>
      </c>
      <c r="K255" s="2">
        <v>1000</v>
      </c>
      <c r="L255" t="s">
        <v>7</v>
      </c>
      <c r="M255" t="s">
        <v>9</v>
      </c>
      <c r="N255" t="s">
        <v>124</v>
      </c>
      <c r="O255" t="s">
        <v>9</v>
      </c>
      <c r="P255" t="s">
        <v>9</v>
      </c>
      <c r="Q255" t="s">
        <v>10</v>
      </c>
      <c r="R255" t="str">
        <f t="shared" si="4"/>
        <v>24430000165DIPIKA</v>
      </c>
      <c r="S255" t="e">
        <f>VLOOKUP(R255,[2]Sheet1!$R$2:$AX$20,33,0)</f>
        <v>#N/A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s="2">
        <v>0</v>
      </c>
      <c r="Z255" t="s">
        <v>9</v>
      </c>
      <c r="AA255" t="s">
        <v>9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t="s">
        <v>9</v>
      </c>
      <c r="AQ255" t="s">
        <v>9</v>
      </c>
      <c r="AR255" t="s">
        <v>9</v>
      </c>
      <c r="CZ255" t="s">
        <v>125</v>
      </c>
    </row>
    <row r="256" spans="1:104" x14ac:dyDescent="0.25">
      <c r="A256" t="s">
        <v>111</v>
      </c>
      <c r="B256" t="s">
        <v>519</v>
      </c>
      <c r="C256" t="s">
        <v>32</v>
      </c>
      <c r="D256" t="s">
        <v>3</v>
      </c>
      <c r="E256" t="s">
        <v>4</v>
      </c>
      <c r="F256" t="s">
        <v>5</v>
      </c>
      <c r="G256" t="s">
        <v>6</v>
      </c>
      <c r="H256" s="2">
        <v>80000</v>
      </c>
      <c r="I256" s="2">
        <v>80000</v>
      </c>
      <c r="J256" s="2">
        <v>0</v>
      </c>
      <c r="K256" s="2">
        <v>80000</v>
      </c>
      <c r="L256" t="s">
        <v>7</v>
      </c>
      <c r="M256" t="s">
        <v>8</v>
      </c>
      <c r="N256" t="s">
        <v>9</v>
      </c>
      <c r="O256" t="s">
        <v>9</v>
      </c>
      <c r="P256" t="s">
        <v>9</v>
      </c>
      <c r="Q256" t="s">
        <v>646</v>
      </c>
      <c r="R256" t="str">
        <f t="shared" si="4"/>
        <v>1110010012DIPIKA</v>
      </c>
      <c r="S256" t="e">
        <f>VLOOKUP(R256,[2]Sheet1!$R$2:$AX$20,33,0)</f>
        <v>#N/A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s="2">
        <v>0</v>
      </c>
      <c r="Z256" t="s">
        <v>9</v>
      </c>
      <c r="AA256" t="s">
        <v>9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t="s">
        <v>9</v>
      </c>
      <c r="AQ256" t="s">
        <v>9</v>
      </c>
      <c r="AR256" t="s">
        <v>9</v>
      </c>
      <c r="CZ256" t="s">
        <v>75</v>
      </c>
    </row>
    <row r="257" spans="1:104" x14ac:dyDescent="0.25">
      <c r="A257" t="s">
        <v>111</v>
      </c>
      <c r="B257" t="s">
        <v>520</v>
      </c>
      <c r="C257" t="s">
        <v>112</v>
      </c>
      <c r="D257" t="s">
        <v>3</v>
      </c>
      <c r="E257" t="s">
        <v>4</v>
      </c>
      <c r="F257" t="s">
        <v>5</v>
      </c>
      <c r="G257" t="s">
        <v>6</v>
      </c>
      <c r="H257" s="2">
        <v>7372420</v>
      </c>
      <c r="I257" s="2">
        <v>115000</v>
      </c>
      <c r="J257" s="2">
        <v>0</v>
      </c>
      <c r="K257" s="2">
        <v>115000</v>
      </c>
      <c r="L257" t="s">
        <v>27</v>
      </c>
      <c r="M257" t="s">
        <v>8</v>
      </c>
      <c r="N257" t="s">
        <v>649</v>
      </c>
      <c r="O257" t="s">
        <v>9</v>
      </c>
      <c r="P257" t="s">
        <v>9</v>
      </c>
      <c r="Q257" t="s">
        <v>10</v>
      </c>
      <c r="R257" t="str">
        <f t="shared" si="4"/>
        <v>24430000200000003DIPIKA</v>
      </c>
      <c r="S257" t="e">
        <f>VLOOKUP(R257,[2]Sheet1!$R$2:$AX$20,33,0)</f>
        <v>#N/A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s="2">
        <v>0</v>
      </c>
      <c r="Z257" t="s">
        <v>9</v>
      </c>
      <c r="AA257" t="s">
        <v>9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t="s">
        <v>9</v>
      </c>
      <c r="AQ257" t="s">
        <v>9</v>
      </c>
      <c r="AR257" t="s">
        <v>9</v>
      </c>
      <c r="CZ257" t="s">
        <v>114</v>
      </c>
    </row>
    <row r="258" spans="1:104" x14ac:dyDescent="0.25">
      <c r="A258" t="s">
        <v>111</v>
      </c>
      <c r="B258" t="s">
        <v>520</v>
      </c>
      <c r="C258" t="s">
        <v>54</v>
      </c>
      <c r="D258" t="s">
        <v>3</v>
      </c>
      <c r="E258" t="s">
        <v>4</v>
      </c>
      <c r="F258" t="s">
        <v>5</v>
      </c>
      <c r="G258" t="s">
        <v>6</v>
      </c>
      <c r="H258" s="2">
        <v>125000</v>
      </c>
      <c r="I258" s="2">
        <v>125000</v>
      </c>
      <c r="J258" s="2">
        <v>0</v>
      </c>
      <c r="K258" s="2">
        <v>125000</v>
      </c>
      <c r="L258" t="s">
        <v>7</v>
      </c>
      <c r="M258" t="s">
        <v>8</v>
      </c>
      <c r="N258" t="s">
        <v>647</v>
      </c>
      <c r="O258" t="s">
        <v>9</v>
      </c>
      <c r="P258" t="s">
        <v>9</v>
      </c>
      <c r="Q258" t="s">
        <v>10</v>
      </c>
      <c r="R258" t="str">
        <f t="shared" si="4"/>
        <v>24430000165DIPIKA</v>
      </c>
      <c r="S258" t="e">
        <f>VLOOKUP(R258,[2]Sheet1!$R$2:$AX$20,33,0)</f>
        <v>#N/A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s="2">
        <v>0</v>
      </c>
      <c r="Z258" t="s">
        <v>9</v>
      </c>
      <c r="AA258" t="s">
        <v>9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t="s">
        <v>9</v>
      </c>
      <c r="AQ258" t="s">
        <v>9</v>
      </c>
      <c r="AR258" t="s">
        <v>9</v>
      </c>
      <c r="CZ258" t="s">
        <v>125</v>
      </c>
    </row>
    <row r="259" spans="1:104" x14ac:dyDescent="0.25">
      <c r="A259" t="s">
        <v>111</v>
      </c>
      <c r="B259" t="s">
        <v>520</v>
      </c>
      <c r="C259" t="s">
        <v>99</v>
      </c>
      <c r="D259" t="s">
        <v>3</v>
      </c>
      <c r="E259" t="s">
        <v>4</v>
      </c>
      <c r="F259" t="s">
        <v>5</v>
      </c>
      <c r="G259" t="s">
        <v>6</v>
      </c>
      <c r="H259" s="2">
        <v>10000</v>
      </c>
      <c r="I259" s="2">
        <v>10000</v>
      </c>
      <c r="J259" s="2">
        <v>0</v>
      </c>
      <c r="K259" s="2">
        <v>10000</v>
      </c>
      <c r="L259" t="s">
        <v>7</v>
      </c>
      <c r="M259" t="s">
        <v>9</v>
      </c>
      <c r="N259" t="s">
        <v>124</v>
      </c>
      <c r="O259" t="s">
        <v>9</v>
      </c>
      <c r="P259" t="s">
        <v>9</v>
      </c>
      <c r="Q259" t="s">
        <v>10</v>
      </c>
      <c r="R259" t="str">
        <f t="shared" si="4"/>
        <v>24430000165DIPIKA</v>
      </c>
      <c r="S259" t="e">
        <f>VLOOKUP(R259,[2]Sheet1!$R$2:$AX$20,33,0)</f>
        <v>#N/A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s="2">
        <v>0</v>
      </c>
      <c r="Z259" t="s">
        <v>9</v>
      </c>
      <c r="AA259" t="s">
        <v>9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t="s">
        <v>9</v>
      </c>
      <c r="AQ259" t="s">
        <v>9</v>
      </c>
      <c r="AR259" t="s">
        <v>9</v>
      </c>
      <c r="CZ259" t="s">
        <v>125</v>
      </c>
    </row>
    <row r="260" spans="1:104" x14ac:dyDescent="0.25">
      <c r="A260" t="s">
        <v>111</v>
      </c>
      <c r="B260" t="s">
        <v>520</v>
      </c>
      <c r="C260" t="s">
        <v>99</v>
      </c>
      <c r="D260" t="s">
        <v>123</v>
      </c>
      <c r="E260" t="s">
        <v>4</v>
      </c>
      <c r="F260" t="s">
        <v>5</v>
      </c>
      <c r="G260" t="s">
        <v>6</v>
      </c>
      <c r="H260" s="2">
        <v>1000</v>
      </c>
      <c r="I260" s="2">
        <v>1000</v>
      </c>
      <c r="J260" s="2">
        <v>0</v>
      </c>
      <c r="K260" s="2">
        <v>1000</v>
      </c>
      <c r="L260" t="s">
        <v>7</v>
      </c>
      <c r="M260" t="s">
        <v>9</v>
      </c>
      <c r="N260" t="s">
        <v>124</v>
      </c>
      <c r="O260" t="s">
        <v>9</v>
      </c>
      <c r="P260" t="s">
        <v>9</v>
      </c>
      <c r="Q260" t="s">
        <v>650</v>
      </c>
      <c r="R260" t="str">
        <f t="shared" si="4"/>
        <v>24430100165DIPIKA</v>
      </c>
      <c r="S260" t="e">
        <f>VLOOKUP(R260,[2]Sheet1!$R$2:$AX$20,33,0)</f>
        <v>#N/A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s="2">
        <v>0</v>
      </c>
      <c r="Z260" t="s">
        <v>9</v>
      </c>
      <c r="AA260" t="s">
        <v>9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t="s">
        <v>9</v>
      </c>
      <c r="AQ260" t="s">
        <v>9</v>
      </c>
      <c r="AR260" t="s">
        <v>9</v>
      </c>
      <c r="CZ260" t="s">
        <v>125</v>
      </c>
    </row>
    <row r="261" spans="1:104" x14ac:dyDescent="0.25">
      <c r="A261" t="s">
        <v>111</v>
      </c>
      <c r="B261" t="s">
        <v>520</v>
      </c>
      <c r="C261" t="s">
        <v>32</v>
      </c>
      <c r="D261" t="s">
        <v>3</v>
      </c>
      <c r="E261" t="s">
        <v>4</v>
      </c>
      <c r="F261" t="s">
        <v>5</v>
      </c>
      <c r="G261" t="s">
        <v>6</v>
      </c>
      <c r="H261" s="2">
        <v>515000</v>
      </c>
      <c r="I261" s="2">
        <v>515000</v>
      </c>
      <c r="J261" s="2">
        <v>0</v>
      </c>
      <c r="K261" s="2">
        <v>515000</v>
      </c>
      <c r="L261" t="s">
        <v>7</v>
      </c>
      <c r="M261" t="s">
        <v>8</v>
      </c>
      <c r="N261" t="s">
        <v>9</v>
      </c>
      <c r="O261" t="s">
        <v>9</v>
      </c>
      <c r="P261" t="s">
        <v>9</v>
      </c>
      <c r="Q261" t="s">
        <v>10</v>
      </c>
      <c r="R261" t="str">
        <f t="shared" si="4"/>
        <v>24430000165DIPIKA</v>
      </c>
      <c r="S261" t="e">
        <f>VLOOKUP(R261,[2]Sheet1!$R$2:$AX$20,33,0)</f>
        <v>#N/A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s="2">
        <v>0</v>
      </c>
      <c r="Z261" t="s">
        <v>9</v>
      </c>
      <c r="AA261" t="s">
        <v>9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t="s">
        <v>9</v>
      </c>
      <c r="AQ261" t="s">
        <v>9</v>
      </c>
      <c r="AR261" t="s">
        <v>9</v>
      </c>
      <c r="CZ261" t="s">
        <v>125</v>
      </c>
    </row>
    <row r="262" spans="1:104" x14ac:dyDescent="0.25">
      <c r="A262" t="s">
        <v>111</v>
      </c>
      <c r="B262" t="s">
        <v>522</v>
      </c>
      <c r="C262" t="s">
        <v>112</v>
      </c>
      <c r="D262" t="s">
        <v>3</v>
      </c>
      <c r="E262" t="s">
        <v>4</v>
      </c>
      <c r="F262" t="s">
        <v>5</v>
      </c>
      <c r="G262" t="s">
        <v>6</v>
      </c>
      <c r="H262" s="2">
        <v>230000</v>
      </c>
      <c r="I262" s="2">
        <v>230000</v>
      </c>
      <c r="J262" s="2">
        <v>0</v>
      </c>
      <c r="K262" s="2">
        <v>230000</v>
      </c>
      <c r="L262" t="s">
        <v>7</v>
      </c>
      <c r="M262" t="s">
        <v>8</v>
      </c>
      <c r="N262" t="s">
        <v>9</v>
      </c>
      <c r="O262" t="s">
        <v>9</v>
      </c>
      <c r="P262" t="s">
        <v>9</v>
      </c>
      <c r="Q262" t="s">
        <v>10</v>
      </c>
      <c r="R262" t="str">
        <f t="shared" si="4"/>
        <v>24430000200000003DIPIKA</v>
      </c>
      <c r="S262" t="e">
        <f>VLOOKUP(R262,[2]Sheet1!$R$2:$AX$20,33,0)</f>
        <v>#N/A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s="2">
        <v>0</v>
      </c>
      <c r="Z262" t="s">
        <v>9</v>
      </c>
      <c r="AA262" t="s">
        <v>9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t="s">
        <v>9</v>
      </c>
      <c r="AQ262" t="s">
        <v>9</v>
      </c>
      <c r="AR262" t="s">
        <v>9</v>
      </c>
      <c r="CZ262" t="s">
        <v>114</v>
      </c>
    </row>
    <row r="263" spans="1:104" x14ac:dyDescent="0.25">
      <c r="A263" t="s">
        <v>111</v>
      </c>
      <c r="B263" t="s">
        <v>522</v>
      </c>
      <c r="C263" t="s">
        <v>54</v>
      </c>
      <c r="D263" t="s">
        <v>3</v>
      </c>
      <c r="E263" t="s">
        <v>4</v>
      </c>
      <c r="F263" t="s">
        <v>5</v>
      </c>
      <c r="G263" t="s">
        <v>6</v>
      </c>
      <c r="H263" s="2">
        <v>100000</v>
      </c>
      <c r="I263" s="2">
        <v>100000</v>
      </c>
      <c r="J263" s="2">
        <v>0</v>
      </c>
      <c r="K263" s="2">
        <v>100000</v>
      </c>
      <c r="L263" t="s">
        <v>7</v>
      </c>
      <c r="M263" t="s">
        <v>8</v>
      </c>
      <c r="N263" t="s">
        <v>651</v>
      </c>
      <c r="O263" t="s">
        <v>9</v>
      </c>
      <c r="P263" t="s">
        <v>9</v>
      </c>
      <c r="Q263" t="s">
        <v>10</v>
      </c>
      <c r="R263" t="str">
        <f t="shared" si="4"/>
        <v>24430000170DIPIKA</v>
      </c>
      <c r="S263" t="e">
        <f>VLOOKUP(R263,[2]Sheet1!$R$2:$AX$20,33,0)</f>
        <v>#N/A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s="2">
        <v>0</v>
      </c>
      <c r="Z263" t="s">
        <v>9</v>
      </c>
      <c r="AA263" t="s">
        <v>9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t="s">
        <v>9</v>
      </c>
      <c r="AQ263" t="s">
        <v>9</v>
      </c>
      <c r="AR263" t="s">
        <v>9</v>
      </c>
      <c r="CZ263" t="s">
        <v>702</v>
      </c>
    </row>
    <row r="264" spans="1:104" x14ac:dyDescent="0.25">
      <c r="A264" t="s">
        <v>111</v>
      </c>
      <c r="B264" t="s">
        <v>522</v>
      </c>
      <c r="C264" t="s">
        <v>99</v>
      </c>
      <c r="D264" t="s">
        <v>3</v>
      </c>
      <c r="E264" t="s">
        <v>4</v>
      </c>
      <c r="F264" t="s">
        <v>5</v>
      </c>
      <c r="G264" t="s">
        <v>6</v>
      </c>
      <c r="H264" s="2">
        <v>10000</v>
      </c>
      <c r="I264" s="2">
        <v>10000</v>
      </c>
      <c r="J264" s="2">
        <v>0</v>
      </c>
      <c r="K264" s="2">
        <v>10000</v>
      </c>
      <c r="L264" t="s">
        <v>7</v>
      </c>
      <c r="M264" t="s">
        <v>9</v>
      </c>
      <c r="N264" t="s">
        <v>124</v>
      </c>
      <c r="O264" t="s">
        <v>9</v>
      </c>
      <c r="P264" t="s">
        <v>9</v>
      </c>
      <c r="Q264" t="s">
        <v>10</v>
      </c>
      <c r="R264" t="str">
        <f t="shared" si="4"/>
        <v>24430000165DIPIKA</v>
      </c>
      <c r="S264" t="e">
        <f>VLOOKUP(R264,[2]Sheet1!$R$2:$AX$20,33,0)</f>
        <v>#N/A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s="2">
        <v>0</v>
      </c>
      <c r="Z264" t="s">
        <v>9</v>
      </c>
      <c r="AA264" t="s">
        <v>9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t="s">
        <v>9</v>
      </c>
      <c r="AQ264" t="s">
        <v>9</v>
      </c>
      <c r="AR264" t="s">
        <v>9</v>
      </c>
      <c r="CZ264" t="s">
        <v>125</v>
      </c>
    </row>
    <row r="265" spans="1:104" x14ac:dyDescent="0.25">
      <c r="A265" t="s">
        <v>111</v>
      </c>
      <c r="B265" t="s">
        <v>522</v>
      </c>
      <c r="C265" t="s">
        <v>99</v>
      </c>
      <c r="D265" t="s">
        <v>123</v>
      </c>
      <c r="E265" t="s">
        <v>4</v>
      </c>
      <c r="F265" t="s">
        <v>5</v>
      </c>
      <c r="G265" t="s">
        <v>6</v>
      </c>
      <c r="H265" s="2">
        <v>1000</v>
      </c>
      <c r="I265" s="2">
        <v>1000</v>
      </c>
      <c r="J265" s="2">
        <v>0</v>
      </c>
      <c r="K265" s="2">
        <v>1000</v>
      </c>
      <c r="L265" t="s">
        <v>7</v>
      </c>
      <c r="M265" t="s">
        <v>9</v>
      </c>
      <c r="N265" t="s">
        <v>124</v>
      </c>
      <c r="O265" t="s">
        <v>9</v>
      </c>
      <c r="P265" t="s">
        <v>9</v>
      </c>
      <c r="Q265" t="s">
        <v>650</v>
      </c>
      <c r="R265" t="str">
        <f t="shared" si="4"/>
        <v>24430100165DIPIKA</v>
      </c>
      <c r="S265" t="e">
        <f>VLOOKUP(R265,[2]Sheet1!$R$2:$AX$20,33,0)</f>
        <v>#N/A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s="2">
        <v>0</v>
      </c>
      <c r="Z265" t="s">
        <v>9</v>
      </c>
      <c r="AA265" t="s">
        <v>9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t="s">
        <v>9</v>
      </c>
      <c r="AQ265" t="s">
        <v>9</v>
      </c>
      <c r="AR265" t="s">
        <v>9</v>
      </c>
      <c r="CZ265" t="s">
        <v>125</v>
      </c>
    </row>
    <row r="266" spans="1:104" x14ac:dyDescent="0.25">
      <c r="A266" t="s">
        <v>111</v>
      </c>
      <c r="B266" t="s">
        <v>522</v>
      </c>
      <c r="C266" t="s">
        <v>32</v>
      </c>
      <c r="D266" t="s">
        <v>3</v>
      </c>
      <c r="E266" t="s">
        <v>4</v>
      </c>
      <c r="F266" t="s">
        <v>5</v>
      </c>
      <c r="G266" t="s">
        <v>6</v>
      </c>
      <c r="H266" s="2">
        <v>200</v>
      </c>
      <c r="I266" s="2">
        <v>200</v>
      </c>
      <c r="J266" s="2">
        <v>0</v>
      </c>
      <c r="K266" s="2">
        <v>200</v>
      </c>
      <c r="L266" t="s">
        <v>7</v>
      </c>
      <c r="M266" t="s">
        <v>8</v>
      </c>
      <c r="N266" t="s">
        <v>9</v>
      </c>
      <c r="O266" t="s">
        <v>9</v>
      </c>
      <c r="P266" t="s">
        <v>9</v>
      </c>
      <c r="Q266" t="s">
        <v>10</v>
      </c>
      <c r="R266" t="str">
        <f t="shared" si="4"/>
        <v>24430000165DIPIKA</v>
      </c>
      <c r="S266" t="e">
        <f>VLOOKUP(R266,[2]Sheet1!$R$2:$AX$20,33,0)</f>
        <v>#N/A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s="2">
        <v>0</v>
      </c>
      <c r="Z266" t="s">
        <v>9</v>
      </c>
      <c r="AA266" t="s">
        <v>9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t="s">
        <v>9</v>
      </c>
      <c r="AQ266" t="s">
        <v>9</v>
      </c>
      <c r="AR266" t="s">
        <v>9</v>
      </c>
      <c r="CZ266" t="s">
        <v>125</v>
      </c>
    </row>
    <row r="267" spans="1:104" x14ac:dyDescent="0.25">
      <c r="A267" t="s">
        <v>111</v>
      </c>
      <c r="B267" t="s">
        <v>523</v>
      </c>
      <c r="C267" t="s">
        <v>112</v>
      </c>
      <c r="D267" t="s">
        <v>3</v>
      </c>
      <c r="E267" t="s">
        <v>4</v>
      </c>
      <c r="F267" t="s">
        <v>5</v>
      </c>
      <c r="G267" t="s">
        <v>6</v>
      </c>
      <c r="H267" s="2">
        <v>345000</v>
      </c>
      <c r="I267" s="2">
        <v>345000</v>
      </c>
      <c r="J267" s="2">
        <v>0</v>
      </c>
      <c r="K267" s="2">
        <v>345000</v>
      </c>
      <c r="L267" t="s">
        <v>7</v>
      </c>
      <c r="M267" t="s">
        <v>8</v>
      </c>
      <c r="N267" t="s">
        <v>649</v>
      </c>
      <c r="O267" t="s">
        <v>9</v>
      </c>
      <c r="P267" t="s">
        <v>9</v>
      </c>
      <c r="Q267" t="s">
        <v>10</v>
      </c>
      <c r="R267" t="str">
        <f t="shared" si="4"/>
        <v>24430000200000003DIPIKA</v>
      </c>
      <c r="S267" t="e">
        <f>VLOOKUP(R267,[2]Sheet1!$R$2:$AX$20,33,0)</f>
        <v>#N/A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s="2">
        <v>0</v>
      </c>
      <c r="Z267" t="s">
        <v>9</v>
      </c>
      <c r="AA267" t="s">
        <v>9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t="s">
        <v>9</v>
      </c>
      <c r="AQ267" t="s">
        <v>9</v>
      </c>
      <c r="AR267" t="s">
        <v>9</v>
      </c>
      <c r="CZ267" t="s">
        <v>114</v>
      </c>
    </row>
    <row r="268" spans="1:104" x14ac:dyDescent="0.25">
      <c r="A268" t="s">
        <v>111</v>
      </c>
      <c r="B268" t="s">
        <v>523</v>
      </c>
      <c r="C268" t="s">
        <v>54</v>
      </c>
      <c r="D268" t="s">
        <v>3</v>
      </c>
      <c r="E268" t="s">
        <v>4</v>
      </c>
      <c r="F268" t="s">
        <v>5</v>
      </c>
      <c r="G268" t="s">
        <v>6</v>
      </c>
      <c r="H268" s="2">
        <v>20000</v>
      </c>
      <c r="I268" s="2">
        <v>20000</v>
      </c>
      <c r="J268" s="2">
        <v>0</v>
      </c>
      <c r="K268" s="2">
        <v>20000</v>
      </c>
      <c r="L268" t="s">
        <v>7</v>
      </c>
      <c r="M268" t="s">
        <v>8</v>
      </c>
      <c r="N268" t="s">
        <v>652</v>
      </c>
      <c r="O268" t="s">
        <v>9</v>
      </c>
      <c r="P268" t="s">
        <v>9</v>
      </c>
      <c r="Q268" t="s">
        <v>10</v>
      </c>
      <c r="R268" t="str">
        <f t="shared" si="4"/>
        <v>24430000170DIPIKA</v>
      </c>
      <c r="S268" t="e">
        <f>VLOOKUP(R268,[2]Sheet1!$R$2:$AX$20,33,0)</f>
        <v>#N/A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s="2">
        <v>0</v>
      </c>
      <c r="Z268" t="s">
        <v>9</v>
      </c>
      <c r="AA268" t="s">
        <v>9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t="s">
        <v>9</v>
      </c>
      <c r="AQ268" t="s">
        <v>9</v>
      </c>
      <c r="AR268" t="s">
        <v>9</v>
      </c>
      <c r="CZ268" t="s">
        <v>702</v>
      </c>
    </row>
    <row r="269" spans="1:104" x14ac:dyDescent="0.25">
      <c r="A269" t="s">
        <v>111</v>
      </c>
      <c r="B269" t="s">
        <v>523</v>
      </c>
      <c r="C269" t="s">
        <v>99</v>
      </c>
      <c r="D269" t="s">
        <v>3</v>
      </c>
      <c r="E269" t="s">
        <v>4</v>
      </c>
      <c r="F269" t="s">
        <v>5</v>
      </c>
      <c r="G269" t="s">
        <v>6</v>
      </c>
      <c r="H269" s="2">
        <v>10000</v>
      </c>
      <c r="I269" s="2">
        <v>10000</v>
      </c>
      <c r="J269" s="2">
        <v>0</v>
      </c>
      <c r="K269" s="2">
        <v>10000</v>
      </c>
      <c r="L269" t="s">
        <v>7</v>
      </c>
      <c r="M269" t="s">
        <v>9</v>
      </c>
      <c r="N269" t="s">
        <v>124</v>
      </c>
      <c r="O269" t="s">
        <v>9</v>
      </c>
      <c r="P269" t="s">
        <v>9</v>
      </c>
      <c r="Q269" t="s">
        <v>10</v>
      </c>
      <c r="R269" t="str">
        <f t="shared" si="4"/>
        <v>24430000165DIPIKA</v>
      </c>
      <c r="S269" t="e">
        <f>VLOOKUP(R269,[2]Sheet1!$R$2:$AX$20,33,0)</f>
        <v>#N/A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s="2">
        <v>0</v>
      </c>
      <c r="Z269" t="s">
        <v>9</v>
      </c>
      <c r="AA269" t="s">
        <v>9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t="s">
        <v>9</v>
      </c>
      <c r="AQ269" t="s">
        <v>9</v>
      </c>
      <c r="AR269" t="s">
        <v>9</v>
      </c>
      <c r="CZ269" t="s">
        <v>125</v>
      </c>
    </row>
    <row r="270" spans="1:104" x14ac:dyDescent="0.25">
      <c r="A270" t="s">
        <v>111</v>
      </c>
      <c r="B270" t="s">
        <v>523</v>
      </c>
      <c r="C270" t="s">
        <v>99</v>
      </c>
      <c r="D270" t="s">
        <v>123</v>
      </c>
      <c r="E270" t="s">
        <v>4</v>
      </c>
      <c r="F270" t="s">
        <v>5</v>
      </c>
      <c r="G270" t="s">
        <v>6</v>
      </c>
      <c r="H270" s="2">
        <v>1000</v>
      </c>
      <c r="I270" s="2">
        <v>1000</v>
      </c>
      <c r="J270" s="2">
        <v>0</v>
      </c>
      <c r="K270" s="2">
        <v>1000</v>
      </c>
      <c r="L270" t="s">
        <v>7</v>
      </c>
      <c r="M270" t="s">
        <v>9</v>
      </c>
      <c r="N270" t="s">
        <v>124</v>
      </c>
      <c r="O270" t="s">
        <v>9</v>
      </c>
      <c r="P270" t="s">
        <v>9</v>
      </c>
      <c r="Q270" t="s">
        <v>650</v>
      </c>
      <c r="R270" t="str">
        <f t="shared" si="4"/>
        <v>24430100165DIPIKA</v>
      </c>
      <c r="S270" t="e">
        <f>VLOOKUP(R270,[2]Sheet1!$R$2:$AX$20,33,0)</f>
        <v>#N/A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s="2">
        <v>0</v>
      </c>
      <c r="Z270" t="s">
        <v>9</v>
      </c>
      <c r="AA270" t="s">
        <v>9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t="s">
        <v>9</v>
      </c>
      <c r="AQ270" t="s">
        <v>9</v>
      </c>
      <c r="AR270" t="s">
        <v>9</v>
      </c>
      <c r="CZ270" t="s">
        <v>125</v>
      </c>
    </row>
    <row r="271" spans="1:104" x14ac:dyDescent="0.25">
      <c r="A271" t="s">
        <v>111</v>
      </c>
      <c r="B271" t="s">
        <v>523</v>
      </c>
      <c r="C271" t="s">
        <v>32</v>
      </c>
      <c r="D271" t="s">
        <v>3</v>
      </c>
      <c r="E271" t="s">
        <v>4</v>
      </c>
      <c r="F271" t="s">
        <v>5</v>
      </c>
      <c r="G271" t="s">
        <v>6</v>
      </c>
      <c r="H271" s="2">
        <v>1000</v>
      </c>
      <c r="I271" s="2">
        <v>1000</v>
      </c>
      <c r="J271" s="2">
        <v>0</v>
      </c>
      <c r="K271" s="2">
        <v>1000</v>
      </c>
      <c r="L271" t="s">
        <v>7</v>
      </c>
      <c r="M271" t="s">
        <v>8</v>
      </c>
      <c r="N271" t="s">
        <v>9</v>
      </c>
      <c r="O271" t="s">
        <v>9</v>
      </c>
      <c r="P271" t="s">
        <v>9</v>
      </c>
      <c r="Q271" t="s">
        <v>10</v>
      </c>
      <c r="R271" t="str">
        <f t="shared" si="4"/>
        <v>24430000165DIPIKA</v>
      </c>
      <c r="S271" t="e">
        <f>VLOOKUP(R271,[2]Sheet1!$R$2:$AX$20,33,0)</f>
        <v>#N/A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s="2">
        <v>0</v>
      </c>
      <c r="Z271" t="s">
        <v>9</v>
      </c>
      <c r="AA271" t="s">
        <v>9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t="s">
        <v>9</v>
      </c>
      <c r="AQ271" t="s">
        <v>9</v>
      </c>
      <c r="AR271" t="s">
        <v>9</v>
      </c>
      <c r="CZ271" t="s">
        <v>125</v>
      </c>
    </row>
    <row r="272" spans="1:104" x14ac:dyDescent="0.25">
      <c r="A272" t="s">
        <v>111</v>
      </c>
      <c r="B272" t="s">
        <v>524</v>
      </c>
      <c r="C272" t="s">
        <v>112</v>
      </c>
      <c r="D272" t="s">
        <v>3</v>
      </c>
      <c r="E272" t="s">
        <v>4</v>
      </c>
      <c r="F272" t="s">
        <v>5</v>
      </c>
      <c r="G272" t="s">
        <v>6</v>
      </c>
      <c r="H272" s="2">
        <v>920000</v>
      </c>
      <c r="I272" s="2">
        <v>920000</v>
      </c>
      <c r="J272" s="2">
        <v>0</v>
      </c>
      <c r="K272" s="2">
        <v>920000</v>
      </c>
      <c r="L272" t="s">
        <v>7</v>
      </c>
      <c r="M272" t="s">
        <v>8</v>
      </c>
      <c r="N272" t="s">
        <v>649</v>
      </c>
      <c r="O272" t="s">
        <v>9</v>
      </c>
      <c r="P272" t="s">
        <v>9</v>
      </c>
      <c r="Q272" t="s">
        <v>10</v>
      </c>
      <c r="R272" t="str">
        <f t="shared" si="4"/>
        <v>24430000200000003DIPIKA</v>
      </c>
      <c r="S272" t="e">
        <f>VLOOKUP(R272,[2]Sheet1!$R$2:$AX$20,33,0)</f>
        <v>#N/A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s="2">
        <v>0</v>
      </c>
      <c r="Z272" t="s">
        <v>9</v>
      </c>
      <c r="AA272" t="s">
        <v>9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t="s">
        <v>9</v>
      </c>
      <c r="AQ272" t="s">
        <v>9</v>
      </c>
      <c r="AR272" t="s">
        <v>9</v>
      </c>
      <c r="CZ272" t="s">
        <v>114</v>
      </c>
    </row>
    <row r="273" spans="1:104" x14ac:dyDescent="0.25">
      <c r="A273" t="s">
        <v>111</v>
      </c>
      <c r="B273" t="s">
        <v>524</v>
      </c>
      <c r="C273" t="s">
        <v>99</v>
      </c>
      <c r="D273" t="s">
        <v>3</v>
      </c>
      <c r="E273" t="s">
        <v>4</v>
      </c>
      <c r="F273" t="s">
        <v>5</v>
      </c>
      <c r="G273" t="s">
        <v>6</v>
      </c>
      <c r="H273" s="2">
        <v>10000</v>
      </c>
      <c r="I273" s="2">
        <v>10000</v>
      </c>
      <c r="J273" s="2">
        <v>0</v>
      </c>
      <c r="K273" s="2">
        <v>10000</v>
      </c>
      <c r="L273" t="s">
        <v>7</v>
      </c>
      <c r="M273" t="s">
        <v>9</v>
      </c>
      <c r="N273" t="s">
        <v>653</v>
      </c>
      <c r="O273" t="s">
        <v>9</v>
      </c>
      <c r="P273" t="s">
        <v>9</v>
      </c>
      <c r="Q273" t="s">
        <v>10</v>
      </c>
      <c r="R273" t="str">
        <f t="shared" si="4"/>
        <v>24430000165DIPIKA</v>
      </c>
      <c r="S273" t="e">
        <f>VLOOKUP(R273,[2]Sheet1!$R$2:$AX$20,33,0)</f>
        <v>#N/A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s="2">
        <v>0</v>
      </c>
      <c r="Z273" t="s">
        <v>9</v>
      </c>
      <c r="AA273" t="s">
        <v>9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t="s">
        <v>9</v>
      </c>
      <c r="AQ273" t="s">
        <v>9</v>
      </c>
      <c r="AR273" t="s">
        <v>9</v>
      </c>
      <c r="CZ273" t="s">
        <v>125</v>
      </c>
    </row>
    <row r="274" spans="1:104" x14ac:dyDescent="0.25">
      <c r="A274" t="s">
        <v>111</v>
      </c>
      <c r="B274" t="s">
        <v>524</v>
      </c>
      <c r="C274" t="s">
        <v>99</v>
      </c>
      <c r="D274" t="s">
        <v>123</v>
      </c>
      <c r="E274" t="s">
        <v>4</v>
      </c>
      <c r="F274" t="s">
        <v>5</v>
      </c>
      <c r="G274" t="s">
        <v>6</v>
      </c>
      <c r="H274" s="2">
        <v>1000</v>
      </c>
      <c r="I274" s="2">
        <v>1000</v>
      </c>
      <c r="J274" s="2">
        <v>0</v>
      </c>
      <c r="K274" s="2">
        <v>1000</v>
      </c>
      <c r="L274" t="s">
        <v>7</v>
      </c>
      <c r="M274" t="s">
        <v>9</v>
      </c>
      <c r="N274" t="s">
        <v>653</v>
      </c>
      <c r="O274" t="s">
        <v>9</v>
      </c>
      <c r="P274" t="s">
        <v>9</v>
      </c>
      <c r="Q274" t="s">
        <v>650</v>
      </c>
      <c r="R274" t="str">
        <f t="shared" si="4"/>
        <v>24430100165DIPIKA</v>
      </c>
      <c r="S274" t="e">
        <f>VLOOKUP(R274,[2]Sheet1!$R$2:$AX$20,33,0)</f>
        <v>#N/A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s="2">
        <v>0</v>
      </c>
      <c r="Z274" t="s">
        <v>9</v>
      </c>
      <c r="AA274" t="s">
        <v>9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t="s">
        <v>9</v>
      </c>
      <c r="AQ274" t="s">
        <v>9</v>
      </c>
      <c r="AR274" t="s">
        <v>9</v>
      </c>
      <c r="CZ274" t="s">
        <v>125</v>
      </c>
    </row>
    <row r="275" spans="1:104" x14ac:dyDescent="0.25">
      <c r="A275" t="s">
        <v>111</v>
      </c>
      <c r="B275" t="s">
        <v>524</v>
      </c>
      <c r="C275" t="s">
        <v>32</v>
      </c>
      <c r="D275" t="s">
        <v>3</v>
      </c>
      <c r="E275" t="s">
        <v>4</v>
      </c>
      <c r="F275" t="s">
        <v>5</v>
      </c>
      <c r="G275" t="s">
        <v>6</v>
      </c>
      <c r="H275" s="2">
        <v>51000</v>
      </c>
      <c r="I275" s="2">
        <v>51000</v>
      </c>
      <c r="J275" s="2">
        <v>0</v>
      </c>
      <c r="K275" s="2">
        <v>51000</v>
      </c>
      <c r="L275" t="s">
        <v>7</v>
      </c>
      <c r="M275" t="s">
        <v>8</v>
      </c>
      <c r="N275" t="s">
        <v>9</v>
      </c>
      <c r="O275" t="s">
        <v>9</v>
      </c>
      <c r="P275" t="s">
        <v>9</v>
      </c>
      <c r="Q275" t="s">
        <v>10</v>
      </c>
      <c r="R275" t="str">
        <f t="shared" si="4"/>
        <v>24430000165DIPIKA</v>
      </c>
      <c r="S275" t="e">
        <f>VLOOKUP(R275,[2]Sheet1!$R$2:$AX$20,33,0)</f>
        <v>#N/A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s="2">
        <v>0</v>
      </c>
      <c r="Z275" t="s">
        <v>9</v>
      </c>
      <c r="AA275" t="s">
        <v>9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t="s">
        <v>9</v>
      </c>
      <c r="AQ275" t="s">
        <v>9</v>
      </c>
      <c r="AR275" t="s">
        <v>9</v>
      </c>
      <c r="CZ275" t="s">
        <v>125</v>
      </c>
    </row>
    <row r="276" spans="1:104" x14ac:dyDescent="0.25">
      <c r="A276" t="s">
        <v>111</v>
      </c>
      <c r="B276" t="s">
        <v>525</v>
      </c>
      <c r="C276" t="s">
        <v>112</v>
      </c>
      <c r="D276" t="s">
        <v>3</v>
      </c>
      <c r="E276" t="s">
        <v>4</v>
      </c>
      <c r="F276" t="s">
        <v>5</v>
      </c>
      <c r="G276" t="s">
        <v>6</v>
      </c>
      <c r="H276" s="2">
        <v>58979360</v>
      </c>
      <c r="I276" s="2">
        <v>920000</v>
      </c>
      <c r="J276" s="2">
        <v>0</v>
      </c>
      <c r="K276" s="2">
        <v>920000</v>
      </c>
      <c r="L276" t="s">
        <v>27</v>
      </c>
      <c r="M276" t="s">
        <v>8</v>
      </c>
      <c r="N276" t="s">
        <v>649</v>
      </c>
      <c r="O276" t="s">
        <v>9</v>
      </c>
      <c r="P276" t="s">
        <v>9</v>
      </c>
      <c r="Q276" t="s">
        <v>10</v>
      </c>
      <c r="R276" t="str">
        <f t="shared" si="4"/>
        <v>24430000200000003DIPIKA</v>
      </c>
      <c r="S276" t="e">
        <f>VLOOKUP(R276,[2]Sheet1!$R$2:$AX$20,33,0)</f>
        <v>#N/A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s="2">
        <v>0</v>
      </c>
      <c r="Z276" t="s">
        <v>9</v>
      </c>
      <c r="AA276" t="s">
        <v>9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t="s">
        <v>9</v>
      </c>
      <c r="AQ276" t="s">
        <v>9</v>
      </c>
      <c r="AR276" t="s">
        <v>9</v>
      </c>
      <c r="CZ276" t="s">
        <v>114</v>
      </c>
    </row>
    <row r="277" spans="1:104" x14ac:dyDescent="0.25">
      <c r="A277" t="s">
        <v>111</v>
      </c>
      <c r="B277" t="s">
        <v>525</v>
      </c>
      <c r="C277" t="s">
        <v>99</v>
      </c>
      <c r="D277" t="s">
        <v>3</v>
      </c>
      <c r="E277" t="s">
        <v>4</v>
      </c>
      <c r="F277" t="s">
        <v>5</v>
      </c>
      <c r="G277" t="s">
        <v>6</v>
      </c>
      <c r="H277" s="2">
        <v>10000</v>
      </c>
      <c r="I277" s="2">
        <v>10000</v>
      </c>
      <c r="J277" s="2">
        <v>0</v>
      </c>
      <c r="K277" s="2">
        <v>10000</v>
      </c>
      <c r="L277" t="s">
        <v>7</v>
      </c>
      <c r="M277" t="s">
        <v>9</v>
      </c>
      <c r="N277" t="s">
        <v>124</v>
      </c>
      <c r="O277" t="s">
        <v>9</v>
      </c>
      <c r="P277" t="s">
        <v>9</v>
      </c>
      <c r="Q277" t="s">
        <v>10</v>
      </c>
      <c r="R277" t="str">
        <f t="shared" si="4"/>
        <v>24430000165DIPIKA</v>
      </c>
      <c r="S277" t="e">
        <f>VLOOKUP(R277,[2]Sheet1!$R$2:$AX$20,33,0)</f>
        <v>#N/A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s="2">
        <v>0</v>
      </c>
      <c r="Z277" t="s">
        <v>9</v>
      </c>
      <c r="AA277" t="s">
        <v>9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t="s">
        <v>9</v>
      </c>
      <c r="AQ277" t="s">
        <v>9</v>
      </c>
      <c r="AR277" t="s">
        <v>9</v>
      </c>
      <c r="CZ277" t="s">
        <v>125</v>
      </c>
    </row>
    <row r="278" spans="1:104" x14ac:dyDescent="0.25">
      <c r="A278" t="s">
        <v>111</v>
      </c>
      <c r="B278" t="s">
        <v>525</v>
      </c>
      <c r="C278" t="s">
        <v>99</v>
      </c>
      <c r="D278" t="s">
        <v>123</v>
      </c>
      <c r="E278" t="s">
        <v>4</v>
      </c>
      <c r="F278" t="s">
        <v>5</v>
      </c>
      <c r="G278" t="s">
        <v>6</v>
      </c>
      <c r="H278" s="2">
        <v>1000</v>
      </c>
      <c r="I278" s="2">
        <v>1000</v>
      </c>
      <c r="J278" s="2">
        <v>0</v>
      </c>
      <c r="K278" s="2">
        <v>1000</v>
      </c>
      <c r="L278" t="s">
        <v>7</v>
      </c>
      <c r="M278" t="s">
        <v>9</v>
      </c>
      <c r="N278" t="s">
        <v>124</v>
      </c>
      <c r="O278" t="s">
        <v>9</v>
      </c>
      <c r="P278" t="s">
        <v>9</v>
      </c>
      <c r="Q278" t="s">
        <v>650</v>
      </c>
      <c r="R278" t="str">
        <f t="shared" ref="R278:R317" si="5">CONCATENATE(Q278,CZ278,"DIPIKA")</f>
        <v>24430100165DIPIKA</v>
      </c>
      <c r="S278" t="e">
        <f>VLOOKUP(R278,[2]Sheet1!$R$2:$AX$20,33,0)</f>
        <v>#N/A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s="2">
        <v>0</v>
      </c>
      <c r="Z278" t="s">
        <v>9</v>
      </c>
      <c r="AA278" t="s">
        <v>9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t="s">
        <v>9</v>
      </c>
      <c r="AQ278" t="s">
        <v>9</v>
      </c>
      <c r="AR278" t="s">
        <v>9</v>
      </c>
      <c r="CZ278" t="s">
        <v>125</v>
      </c>
    </row>
    <row r="279" spans="1:104" x14ac:dyDescent="0.25">
      <c r="A279" t="s">
        <v>111</v>
      </c>
      <c r="B279" t="s">
        <v>526</v>
      </c>
      <c r="C279" t="s">
        <v>112</v>
      </c>
      <c r="D279" t="s">
        <v>3</v>
      </c>
      <c r="E279" t="s">
        <v>4</v>
      </c>
      <c r="F279" t="s">
        <v>5</v>
      </c>
      <c r="G279" t="s">
        <v>6</v>
      </c>
      <c r="H279" s="2">
        <v>500000</v>
      </c>
      <c r="I279" s="2">
        <v>500000</v>
      </c>
      <c r="J279" s="2">
        <v>0</v>
      </c>
      <c r="K279" s="2">
        <v>500000</v>
      </c>
      <c r="L279" t="s">
        <v>7</v>
      </c>
      <c r="M279" t="s">
        <v>8</v>
      </c>
      <c r="N279" t="s">
        <v>654</v>
      </c>
      <c r="O279" t="s">
        <v>9</v>
      </c>
      <c r="P279" t="s">
        <v>9</v>
      </c>
      <c r="Q279" t="s">
        <v>655</v>
      </c>
      <c r="R279" t="str">
        <f t="shared" si="5"/>
        <v>24431000200000004DIPIKA</v>
      </c>
      <c r="S279" t="e">
        <f>VLOOKUP(R279,[2]Sheet1!$R$2:$AX$20,33,0)</f>
        <v>#N/A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s="2">
        <v>0</v>
      </c>
      <c r="Z279" t="s">
        <v>9</v>
      </c>
      <c r="AA279" t="s">
        <v>9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t="s">
        <v>9</v>
      </c>
      <c r="AQ279" t="s">
        <v>9</v>
      </c>
      <c r="AR279" t="s">
        <v>9</v>
      </c>
      <c r="CZ279" t="s">
        <v>703</v>
      </c>
    </row>
    <row r="280" spans="1:104" x14ac:dyDescent="0.25">
      <c r="A280" t="s">
        <v>111</v>
      </c>
      <c r="B280" t="s">
        <v>526</v>
      </c>
      <c r="C280" t="s">
        <v>99</v>
      </c>
      <c r="D280" t="s">
        <v>3</v>
      </c>
      <c r="E280" t="s">
        <v>4</v>
      </c>
      <c r="F280" t="s">
        <v>5</v>
      </c>
      <c r="G280" t="s">
        <v>6</v>
      </c>
      <c r="H280" s="2">
        <v>1000</v>
      </c>
      <c r="I280" s="2">
        <v>1000</v>
      </c>
      <c r="J280" s="2">
        <v>0</v>
      </c>
      <c r="K280" s="2">
        <v>1000</v>
      </c>
      <c r="L280" t="s">
        <v>7</v>
      </c>
      <c r="M280" t="s">
        <v>9</v>
      </c>
      <c r="N280" t="s">
        <v>9</v>
      </c>
      <c r="O280" t="s">
        <v>9</v>
      </c>
      <c r="P280" t="s">
        <v>9</v>
      </c>
      <c r="Q280" t="s">
        <v>10</v>
      </c>
      <c r="R280" t="str">
        <f t="shared" si="5"/>
        <v>24430000165DIPIKA</v>
      </c>
      <c r="S280" t="e">
        <f>VLOOKUP(R280,[2]Sheet1!$R$2:$AX$20,33,0)</f>
        <v>#N/A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s="2">
        <v>0</v>
      </c>
      <c r="Z280" t="s">
        <v>9</v>
      </c>
      <c r="AA280" t="s">
        <v>9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t="s">
        <v>9</v>
      </c>
      <c r="AQ280" t="s">
        <v>9</v>
      </c>
      <c r="AR280" t="s">
        <v>9</v>
      </c>
      <c r="CZ280" t="s">
        <v>125</v>
      </c>
    </row>
    <row r="281" spans="1:104" x14ac:dyDescent="0.25">
      <c r="A281" t="s">
        <v>111</v>
      </c>
      <c r="B281" t="s">
        <v>527</v>
      </c>
      <c r="C281" t="s">
        <v>112</v>
      </c>
      <c r="D281" t="s">
        <v>3</v>
      </c>
      <c r="E281" t="s">
        <v>4</v>
      </c>
      <c r="F281" t="s">
        <v>5</v>
      </c>
      <c r="G281" t="s">
        <v>6</v>
      </c>
      <c r="H281" s="2">
        <v>200000</v>
      </c>
      <c r="I281" s="2">
        <v>200000</v>
      </c>
      <c r="J281" s="2">
        <v>0</v>
      </c>
      <c r="K281" s="2">
        <v>200000</v>
      </c>
      <c r="L281" t="s">
        <v>7</v>
      </c>
      <c r="M281" t="s">
        <v>8</v>
      </c>
      <c r="N281" t="s">
        <v>649</v>
      </c>
      <c r="O281" t="s">
        <v>9</v>
      </c>
      <c r="P281" t="s">
        <v>9</v>
      </c>
      <c r="Q281" t="s">
        <v>656</v>
      </c>
      <c r="R281" t="str">
        <f t="shared" si="5"/>
        <v>24433000200000005DIPIKA</v>
      </c>
      <c r="S281" t="e">
        <f>VLOOKUP(R281,[2]Sheet1!$R$2:$AX$20,33,0)</f>
        <v>#N/A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s="2">
        <v>0</v>
      </c>
      <c r="Z281" t="s">
        <v>9</v>
      </c>
      <c r="AA281" t="s">
        <v>9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t="s">
        <v>9</v>
      </c>
      <c r="AQ281" t="s">
        <v>9</v>
      </c>
      <c r="AR281" t="s">
        <v>9</v>
      </c>
      <c r="CZ281" t="s">
        <v>704</v>
      </c>
    </row>
    <row r="282" spans="1:104" x14ac:dyDescent="0.25">
      <c r="A282" t="s">
        <v>111</v>
      </c>
      <c r="B282" t="s">
        <v>527</v>
      </c>
      <c r="C282" t="s">
        <v>99</v>
      </c>
      <c r="D282" t="s">
        <v>3</v>
      </c>
      <c r="E282" t="s">
        <v>4</v>
      </c>
      <c r="F282" t="s">
        <v>5</v>
      </c>
      <c r="G282" t="s">
        <v>6</v>
      </c>
      <c r="H282" s="2">
        <v>5000</v>
      </c>
      <c r="I282" s="2">
        <v>5000</v>
      </c>
      <c r="J282" s="2">
        <v>0</v>
      </c>
      <c r="K282" s="2">
        <v>5000</v>
      </c>
      <c r="L282" t="s">
        <v>7</v>
      </c>
      <c r="M282" t="s">
        <v>9</v>
      </c>
      <c r="N282" t="s">
        <v>9</v>
      </c>
      <c r="O282" t="s">
        <v>9</v>
      </c>
      <c r="P282" t="s">
        <v>9</v>
      </c>
      <c r="Q282" t="s">
        <v>10</v>
      </c>
      <c r="R282" t="str">
        <f t="shared" si="5"/>
        <v>24430000165DIPIKA</v>
      </c>
      <c r="S282" t="e">
        <f>VLOOKUP(R282,[2]Sheet1!$R$2:$AX$20,33,0)</f>
        <v>#N/A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s="2">
        <v>0</v>
      </c>
      <c r="Z282" t="s">
        <v>9</v>
      </c>
      <c r="AA282" t="s">
        <v>9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t="s">
        <v>9</v>
      </c>
      <c r="AQ282" t="s">
        <v>9</v>
      </c>
      <c r="AR282" t="s">
        <v>9</v>
      </c>
      <c r="CZ282" t="s">
        <v>125</v>
      </c>
    </row>
    <row r="283" spans="1:104" x14ac:dyDescent="0.25">
      <c r="A283" t="s">
        <v>111</v>
      </c>
      <c r="B283" t="s">
        <v>528</v>
      </c>
      <c r="C283" t="s">
        <v>112</v>
      </c>
      <c r="D283" t="s">
        <v>3</v>
      </c>
      <c r="E283" t="s">
        <v>4</v>
      </c>
      <c r="F283" t="s">
        <v>5</v>
      </c>
      <c r="G283" t="s">
        <v>6</v>
      </c>
      <c r="H283" s="2">
        <v>15000</v>
      </c>
      <c r="I283" s="2">
        <v>15000</v>
      </c>
      <c r="J283" s="2">
        <v>0</v>
      </c>
      <c r="K283" s="2">
        <v>15000</v>
      </c>
      <c r="L283" t="s">
        <v>7</v>
      </c>
      <c r="M283" t="s">
        <v>8</v>
      </c>
      <c r="N283" t="s">
        <v>647</v>
      </c>
      <c r="O283" t="s">
        <v>9</v>
      </c>
      <c r="P283" t="s">
        <v>9</v>
      </c>
      <c r="Q283" t="s">
        <v>10</v>
      </c>
      <c r="R283" t="str">
        <f t="shared" si="5"/>
        <v>24430000200000003DIPIKA</v>
      </c>
      <c r="S283" t="e">
        <f>VLOOKUP(R283,[2]Sheet1!$R$2:$AX$20,33,0)</f>
        <v>#N/A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s="2">
        <v>0</v>
      </c>
      <c r="Z283" t="s">
        <v>9</v>
      </c>
      <c r="AA283" t="s">
        <v>9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t="s">
        <v>9</v>
      </c>
      <c r="AQ283" t="s">
        <v>9</v>
      </c>
      <c r="AR283" t="s">
        <v>9</v>
      </c>
      <c r="CZ283" t="s">
        <v>114</v>
      </c>
    </row>
    <row r="284" spans="1:104" x14ac:dyDescent="0.25">
      <c r="A284" t="s">
        <v>111</v>
      </c>
      <c r="B284" t="s">
        <v>528</v>
      </c>
      <c r="C284" t="s">
        <v>99</v>
      </c>
      <c r="D284" t="s">
        <v>3</v>
      </c>
      <c r="E284" t="s">
        <v>4</v>
      </c>
      <c r="F284" t="s">
        <v>5</v>
      </c>
      <c r="G284" t="s">
        <v>6</v>
      </c>
      <c r="H284" s="2">
        <v>6000</v>
      </c>
      <c r="I284" s="2">
        <v>6000</v>
      </c>
      <c r="J284" s="2">
        <v>0</v>
      </c>
      <c r="K284" s="2">
        <v>6000</v>
      </c>
      <c r="L284" t="s">
        <v>7</v>
      </c>
      <c r="M284" t="s">
        <v>9</v>
      </c>
      <c r="N284" t="s">
        <v>9</v>
      </c>
      <c r="O284" t="s">
        <v>9</v>
      </c>
      <c r="P284" t="s">
        <v>9</v>
      </c>
      <c r="Q284" t="s">
        <v>10</v>
      </c>
      <c r="R284" t="str">
        <f t="shared" si="5"/>
        <v>24430000165DIPIKA</v>
      </c>
      <c r="S284" t="e">
        <f>VLOOKUP(R284,[2]Sheet1!$R$2:$AX$20,33,0)</f>
        <v>#N/A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s="2">
        <v>0</v>
      </c>
      <c r="Z284" t="s">
        <v>9</v>
      </c>
      <c r="AA284" t="s">
        <v>9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t="s">
        <v>9</v>
      </c>
      <c r="AQ284" t="s">
        <v>9</v>
      </c>
      <c r="AR284" t="s">
        <v>9</v>
      </c>
      <c r="CZ284" t="s">
        <v>125</v>
      </c>
    </row>
    <row r="285" spans="1:104" x14ac:dyDescent="0.25">
      <c r="A285" t="s">
        <v>111</v>
      </c>
      <c r="B285" t="s">
        <v>529</v>
      </c>
      <c r="C285" t="s">
        <v>99</v>
      </c>
      <c r="D285" t="s">
        <v>3</v>
      </c>
      <c r="E285" t="s">
        <v>4</v>
      </c>
      <c r="F285" t="s">
        <v>5</v>
      </c>
      <c r="G285" t="s">
        <v>6</v>
      </c>
      <c r="H285" s="2">
        <v>7000</v>
      </c>
      <c r="I285" s="2">
        <v>7000</v>
      </c>
      <c r="J285" s="2">
        <v>0</v>
      </c>
      <c r="K285" s="2">
        <v>7000</v>
      </c>
      <c r="L285" t="s">
        <v>7</v>
      </c>
      <c r="M285" t="s">
        <v>9</v>
      </c>
      <c r="N285" t="s">
        <v>9</v>
      </c>
      <c r="O285" t="s">
        <v>9</v>
      </c>
      <c r="P285" t="s">
        <v>9</v>
      </c>
      <c r="Q285" t="s">
        <v>10</v>
      </c>
      <c r="R285" t="str">
        <f t="shared" si="5"/>
        <v>24430000165DIPIKA</v>
      </c>
      <c r="S285" t="e">
        <f>VLOOKUP(R285,[2]Sheet1!$R$2:$AX$20,33,0)</f>
        <v>#N/A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s="2">
        <v>0</v>
      </c>
      <c r="Z285" t="s">
        <v>9</v>
      </c>
      <c r="AA285" t="s">
        <v>9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t="s">
        <v>9</v>
      </c>
      <c r="AQ285" t="s">
        <v>9</v>
      </c>
      <c r="AR285" t="s">
        <v>9</v>
      </c>
      <c r="CZ285" t="s">
        <v>125</v>
      </c>
    </row>
    <row r="286" spans="1:104" x14ac:dyDescent="0.25">
      <c r="A286" t="s">
        <v>111</v>
      </c>
      <c r="B286" t="s">
        <v>530</v>
      </c>
      <c r="C286" t="s">
        <v>99</v>
      </c>
      <c r="D286" t="s">
        <v>3</v>
      </c>
      <c r="E286" t="s">
        <v>4</v>
      </c>
      <c r="F286" t="s">
        <v>5</v>
      </c>
      <c r="G286" t="s">
        <v>6</v>
      </c>
      <c r="H286" s="2">
        <v>60000</v>
      </c>
      <c r="I286" s="2">
        <v>60000</v>
      </c>
      <c r="J286" s="2">
        <v>0</v>
      </c>
      <c r="K286" s="2">
        <v>60000</v>
      </c>
      <c r="L286" t="s">
        <v>7</v>
      </c>
      <c r="M286" t="s">
        <v>9</v>
      </c>
      <c r="N286" t="s">
        <v>9</v>
      </c>
      <c r="O286" t="s">
        <v>9</v>
      </c>
      <c r="P286" t="s">
        <v>9</v>
      </c>
      <c r="Q286" t="s">
        <v>10</v>
      </c>
      <c r="R286" t="str">
        <f t="shared" si="5"/>
        <v>24430000165DIPIKA</v>
      </c>
      <c r="S286" t="e">
        <f>VLOOKUP(R286,[2]Sheet1!$R$2:$AX$20,33,0)</f>
        <v>#N/A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s="2">
        <v>0</v>
      </c>
      <c r="Z286" t="s">
        <v>9</v>
      </c>
      <c r="AA286" t="s">
        <v>9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t="s">
        <v>9</v>
      </c>
      <c r="AQ286" t="s">
        <v>9</v>
      </c>
      <c r="AR286" t="s">
        <v>9</v>
      </c>
      <c r="CZ286" t="s">
        <v>125</v>
      </c>
    </row>
    <row r="287" spans="1:104" x14ac:dyDescent="0.25">
      <c r="A287" t="s">
        <v>111</v>
      </c>
      <c r="B287" t="s">
        <v>531</v>
      </c>
      <c r="C287" t="s">
        <v>99</v>
      </c>
      <c r="D287" t="s">
        <v>3</v>
      </c>
      <c r="E287" t="s">
        <v>4</v>
      </c>
      <c r="F287" t="s">
        <v>5</v>
      </c>
      <c r="G287" t="s">
        <v>6</v>
      </c>
      <c r="H287" s="2">
        <v>60000</v>
      </c>
      <c r="I287" s="2">
        <v>60000</v>
      </c>
      <c r="J287" s="2">
        <v>0</v>
      </c>
      <c r="K287" s="2">
        <v>60000</v>
      </c>
      <c r="L287" t="s">
        <v>7</v>
      </c>
      <c r="M287" t="s">
        <v>9</v>
      </c>
      <c r="N287" t="s">
        <v>9</v>
      </c>
      <c r="O287" t="s">
        <v>9</v>
      </c>
      <c r="P287" t="s">
        <v>9</v>
      </c>
      <c r="Q287" t="s">
        <v>10</v>
      </c>
      <c r="R287" t="str">
        <f t="shared" si="5"/>
        <v>24430000165DIPIKA</v>
      </c>
      <c r="S287" t="e">
        <f>VLOOKUP(R287,[2]Sheet1!$R$2:$AX$20,33,0)</f>
        <v>#N/A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s="2">
        <v>0</v>
      </c>
      <c r="Z287" t="s">
        <v>9</v>
      </c>
      <c r="AA287" t="s">
        <v>9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t="s">
        <v>9</v>
      </c>
      <c r="AQ287" t="s">
        <v>9</v>
      </c>
      <c r="AR287" t="s">
        <v>9</v>
      </c>
      <c r="CZ287" t="s">
        <v>125</v>
      </c>
    </row>
    <row r="288" spans="1:104" x14ac:dyDescent="0.25">
      <c r="A288" t="s">
        <v>111</v>
      </c>
      <c r="B288" t="s">
        <v>532</v>
      </c>
      <c r="C288" t="s">
        <v>99</v>
      </c>
      <c r="D288" t="s">
        <v>3</v>
      </c>
      <c r="E288" t="s">
        <v>4</v>
      </c>
      <c r="F288" t="s">
        <v>5</v>
      </c>
      <c r="G288" t="s">
        <v>6</v>
      </c>
      <c r="H288" s="2">
        <v>60000</v>
      </c>
      <c r="I288" s="2">
        <v>60000</v>
      </c>
      <c r="J288" s="2">
        <v>0</v>
      </c>
      <c r="K288" s="2">
        <v>60000</v>
      </c>
      <c r="L288" t="s">
        <v>7</v>
      </c>
      <c r="M288" t="s">
        <v>9</v>
      </c>
      <c r="N288" t="s">
        <v>9</v>
      </c>
      <c r="O288" t="s">
        <v>9</v>
      </c>
      <c r="P288" t="s">
        <v>9</v>
      </c>
      <c r="Q288" t="s">
        <v>10</v>
      </c>
      <c r="R288" t="str">
        <f t="shared" si="5"/>
        <v>24430000165DIPIKA</v>
      </c>
      <c r="S288" t="e">
        <f>VLOOKUP(R288,[2]Sheet1!$R$2:$AX$20,33,0)</f>
        <v>#N/A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s="2">
        <v>0</v>
      </c>
      <c r="Z288" t="s">
        <v>9</v>
      </c>
      <c r="AA288" t="s">
        <v>9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t="s">
        <v>9</v>
      </c>
      <c r="AQ288" t="s">
        <v>9</v>
      </c>
      <c r="AR288" t="s">
        <v>9</v>
      </c>
      <c r="CZ288" t="s">
        <v>125</v>
      </c>
    </row>
    <row r="289" spans="1:104" x14ac:dyDescent="0.25">
      <c r="A289" t="s">
        <v>111</v>
      </c>
      <c r="B289" t="s">
        <v>533</v>
      </c>
      <c r="C289" t="s">
        <v>99</v>
      </c>
      <c r="D289" t="s">
        <v>3</v>
      </c>
      <c r="E289" t="s">
        <v>4</v>
      </c>
      <c r="F289" t="s">
        <v>5</v>
      </c>
      <c r="G289" t="s">
        <v>6</v>
      </c>
      <c r="H289" s="2">
        <v>60000</v>
      </c>
      <c r="I289" s="2">
        <v>60000</v>
      </c>
      <c r="J289" s="2">
        <v>0</v>
      </c>
      <c r="K289" s="2">
        <v>60000</v>
      </c>
      <c r="L289" t="s">
        <v>7</v>
      </c>
      <c r="M289" t="s">
        <v>9</v>
      </c>
      <c r="N289" t="s">
        <v>9</v>
      </c>
      <c r="O289" t="s">
        <v>9</v>
      </c>
      <c r="P289" t="s">
        <v>9</v>
      </c>
      <c r="Q289" t="s">
        <v>10</v>
      </c>
      <c r="R289" t="str">
        <f t="shared" si="5"/>
        <v>24430000165DIPIKA</v>
      </c>
      <c r="S289" t="e">
        <f>VLOOKUP(R289,[2]Sheet1!$R$2:$AX$20,33,0)</f>
        <v>#N/A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s="2">
        <v>0</v>
      </c>
      <c r="Z289" t="s">
        <v>9</v>
      </c>
      <c r="AA289" t="s">
        <v>9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t="s">
        <v>9</v>
      </c>
      <c r="AQ289" t="s">
        <v>9</v>
      </c>
      <c r="AR289" t="s">
        <v>9</v>
      </c>
      <c r="CZ289" t="s">
        <v>125</v>
      </c>
    </row>
    <row r="290" spans="1:104" x14ac:dyDescent="0.25">
      <c r="A290" t="s">
        <v>111</v>
      </c>
      <c r="B290" t="s">
        <v>544</v>
      </c>
      <c r="C290" t="s">
        <v>99</v>
      </c>
      <c r="D290" t="s">
        <v>3</v>
      </c>
      <c r="E290" t="s">
        <v>4</v>
      </c>
      <c r="F290" t="s">
        <v>5</v>
      </c>
      <c r="G290" t="s">
        <v>6</v>
      </c>
      <c r="H290" s="2">
        <v>60000</v>
      </c>
      <c r="I290" s="2">
        <v>60000</v>
      </c>
      <c r="J290" s="2">
        <v>0</v>
      </c>
      <c r="K290" s="2">
        <v>60000</v>
      </c>
      <c r="L290" t="s">
        <v>7</v>
      </c>
      <c r="M290" t="s">
        <v>9</v>
      </c>
      <c r="N290" t="s">
        <v>9</v>
      </c>
      <c r="O290" t="s">
        <v>9</v>
      </c>
      <c r="P290" t="s">
        <v>9</v>
      </c>
      <c r="Q290" t="s">
        <v>10</v>
      </c>
      <c r="R290" t="str">
        <f t="shared" si="5"/>
        <v>24430000165DIPIKA</v>
      </c>
      <c r="S290" t="e">
        <f>VLOOKUP(R290,[2]Sheet1!$R$2:$AX$20,33,0)</f>
        <v>#N/A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s="2">
        <v>0</v>
      </c>
      <c r="Z290" t="s">
        <v>9</v>
      </c>
      <c r="AA290" t="s">
        <v>9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t="s">
        <v>9</v>
      </c>
      <c r="AQ290" t="s">
        <v>9</v>
      </c>
      <c r="AR290" t="s">
        <v>9</v>
      </c>
      <c r="CZ290" t="s">
        <v>125</v>
      </c>
    </row>
    <row r="291" spans="1:104" x14ac:dyDescent="0.25">
      <c r="A291" t="s">
        <v>111</v>
      </c>
      <c r="B291" t="s">
        <v>545</v>
      </c>
      <c r="C291" t="s">
        <v>99</v>
      </c>
      <c r="D291" t="s">
        <v>3</v>
      </c>
      <c r="E291" t="s">
        <v>4</v>
      </c>
      <c r="F291" t="s">
        <v>5</v>
      </c>
      <c r="G291" t="s">
        <v>6</v>
      </c>
      <c r="H291" s="2">
        <v>60000</v>
      </c>
      <c r="I291" s="2">
        <v>60000</v>
      </c>
      <c r="J291" s="2">
        <v>0</v>
      </c>
      <c r="K291" s="2">
        <v>60000</v>
      </c>
      <c r="L291" t="s">
        <v>7</v>
      </c>
      <c r="M291" t="s">
        <v>9</v>
      </c>
      <c r="N291" t="s">
        <v>9</v>
      </c>
      <c r="O291" t="s">
        <v>9</v>
      </c>
      <c r="P291" t="s">
        <v>9</v>
      </c>
      <c r="Q291" t="s">
        <v>10</v>
      </c>
      <c r="R291" t="str">
        <f t="shared" si="5"/>
        <v>24430000165DIPIKA</v>
      </c>
      <c r="S291" t="e">
        <f>VLOOKUP(R291,[2]Sheet1!$R$2:$AX$20,33,0)</f>
        <v>#N/A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s="2">
        <v>0</v>
      </c>
      <c r="Z291" t="s">
        <v>9</v>
      </c>
      <c r="AA291" t="s">
        <v>9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t="s">
        <v>9</v>
      </c>
      <c r="AQ291" t="s">
        <v>9</v>
      </c>
      <c r="AR291" t="s">
        <v>9</v>
      </c>
      <c r="CZ291" t="s">
        <v>125</v>
      </c>
    </row>
    <row r="292" spans="1:104" x14ac:dyDescent="0.25">
      <c r="A292" t="s">
        <v>111</v>
      </c>
      <c r="B292" t="s">
        <v>546</v>
      </c>
      <c r="C292" t="s">
        <v>99</v>
      </c>
      <c r="D292" t="s">
        <v>3</v>
      </c>
      <c r="E292" t="s">
        <v>4</v>
      </c>
      <c r="F292" t="s">
        <v>5</v>
      </c>
      <c r="G292" t="s">
        <v>6</v>
      </c>
      <c r="H292" s="2">
        <v>60000</v>
      </c>
      <c r="I292" s="2">
        <v>60000</v>
      </c>
      <c r="J292" s="2">
        <v>0</v>
      </c>
      <c r="K292" s="2">
        <v>60000</v>
      </c>
      <c r="L292" t="s">
        <v>7</v>
      </c>
      <c r="M292" t="s">
        <v>9</v>
      </c>
      <c r="N292" t="s">
        <v>9</v>
      </c>
      <c r="O292" t="s">
        <v>9</v>
      </c>
      <c r="P292" t="s">
        <v>9</v>
      </c>
      <c r="Q292" t="s">
        <v>10</v>
      </c>
      <c r="R292" t="str">
        <f t="shared" si="5"/>
        <v>24430000165DIPIKA</v>
      </c>
      <c r="S292" t="e">
        <f>VLOOKUP(R292,[2]Sheet1!$R$2:$AX$20,33,0)</f>
        <v>#N/A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s="2">
        <v>0</v>
      </c>
      <c r="Z292" t="s">
        <v>9</v>
      </c>
      <c r="AA292" t="s">
        <v>9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t="s">
        <v>9</v>
      </c>
      <c r="AQ292" t="s">
        <v>9</v>
      </c>
      <c r="AR292" t="s">
        <v>9</v>
      </c>
      <c r="CZ292" t="s">
        <v>125</v>
      </c>
    </row>
    <row r="293" spans="1:104" x14ac:dyDescent="0.25">
      <c r="A293" t="s">
        <v>111</v>
      </c>
      <c r="B293" t="s">
        <v>547</v>
      </c>
      <c r="C293" t="s">
        <v>99</v>
      </c>
      <c r="D293" t="s">
        <v>3</v>
      </c>
      <c r="E293" t="s">
        <v>4</v>
      </c>
      <c r="F293" t="s">
        <v>5</v>
      </c>
      <c r="G293" t="s">
        <v>6</v>
      </c>
      <c r="H293" s="2">
        <v>50001</v>
      </c>
      <c r="I293" s="2">
        <v>50001</v>
      </c>
      <c r="J293" s="2">
        <v>0</v>
      </c>
      <c r="K293" s="2">
        <v>50001</v>
      </c>
      <c r="L293" t="s">
        <v>7</v>
      </c>
      <c r="M293" t="s">
        <v>8</v>
      </c>
      <c r="N293" t="s">
        <v>9</v>
      </c>
      <c r="O293" t="s">
        <v>9</v>
      </c>
      <c r="P293" t="s">
        <v>9</v>
      </c>
      <c r="Q293" t="s">
        <v>10</v>
      </c>
      <c r="R293" t="str">
        <f t="shared" si="5"/>
        <v>24430000200000003DIPIKA</v>
      </c>
      <c r="S293" t="e">
        <f>VLOOKUP(R293,[2]Sheet1!$R$2:$AX$20,33,0)</f>
        <v>#N/A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s="2">
        <v>0</v>
      </c>
      <c r="Z293" t="s">
        <v>9</v>
      </c>
      <c r="AA293" t="s">
        <v>9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t="s">
        <v>9</v>
      </c>
      <c r="AQ293" t="s">
        <v>9</v>
      </c>
      <c r="AR293" t="s">
        <v>9</v>
      </c>
      <c r="CZ293" t="s">
        <v>114</v>
      </c>
    </row>
    <row r="294" spans="1:104" x14ac:dyDescent="0.25">
      <c r="A294" t="s">
        <v>111</v>
      </c>
      <c r="B294" t="s">
        <v>548</v>
      </c>
      <c r="C294" t="s">
        <v>99</v>
      </c>
      <c r="D294" t="s">
        <v>3</v>
      </c>
      <c r="E294" t="s">
        <v>4</v>
      </c>
      <c r="F294" t="s">
        <v>5</v>
      </c>
      <c r="G294" t="s">
        <v>6</v>
      </c>
      <c r="H294" s="2">
        <v>500002</v>
      </c>
      <c r="I294" s="2">
        <v>500002</v>
      </c>
      <c r="J294" s="2">
        <v>0</v>
      </c>
      <c r="K294" s="2">
        <v>500002</v>
      </c>
      <c r="L294" t="s">
        <v>7</v>
      </c>
      <c r="M294" t="s">
        <v>8</v>
      </c>
      <c r="N294" t="s">
        <v>9</v>
      </c>
      <c r="O294" t="s">
        <v>9</v>
      </c>
      <c r="P294" t="s">
        <v>9</v>
      </c>
      <c r="Q294" t="s">
        <v>10</v>
      </c>
      <c r="R294" t="str">
        <f t="shared" si="5"/>
        <v>24430000200000003DIPIKA</v>
      </c>
      <c r="S294" t="e">
        <f>VLOOKUP(R294,[2]Sheet1!$R$2:$AX$20,33,0)</f>
        <v>#N/A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s="2">
        <v>0</v>
      </c>
      <c r="Z294" t="s">
        <v>9</v>
      </c>
      <c r="AA294" t="s">
        <v>9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t="s">
        <v>9</v>
      </c>
      <c r="AQ294" t="s">
        <v>9</v>
      </c>
      <c r="AR294" t="s">
        <v>9</v>
      </c>
      <c r="CZ294" t="s">
        <v>114</v>
      </c>
    </row>
    <row r="295" spans="1:104" x14ac:dyDescent="0.25">
      <c r="A295" t="s">
        <v>111</v>
      </c>
      <c r="B295" t="s">
        <v>549</v>
      </c>
      <c r="C295" t="s">
        <v>99</v>
      </c>
      <c r="D295" t="s">
        <v>3</v>
      </c>
      <c r="E295" t="s">
        <v>4</v>
      </c>
      <c r="F295" t="s">
        <v>5</v>
      </c>
      <c r="G295" t="s">
        <v>6</v>
      </c>
      <c r="H295" s="2">
        <v>500003</v>
      </c>
      <c r="I295" s="2">
        <v>500003</v>
      </c>
      <c r="J295" s="2">
        <v>0</v>
      </c>
      <c r="K295" s="2">
        <v>500003</v>
      </c>
      <c r="L295" t="s">
        <v>7</v>
      </c>
      <c r="M295" t="s">
        <v>8</v>
      </c>
      <c r="N295" t="s">
        <v>9</v>
      </c>
      <c r="O295" t="s">
        <v>9</v>
      </c>
      <c r="P295" t="s">
        <v>9</v>
      </c>
      <c r="Q295" t="s">
        <v>10</v>
      </c>
      <c r="R295" t="str">
        <f t="shared" si="5"/>
        <v>24430000200000003DIPIKA</v>
      </c>
      <c r="S295" t="e">
        <f>VLOOKUP(R295,[2]Sheet1!$R$2:$AX$20,33,0)</f>
        <v>#N/A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s="2">
        <v>0</v>
      </c>
      <c r="Z295" t="s">
        <v>9</v>
      </c>
      <c r="AA295" t="s">
        <v>9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t="s">
        <v>9</v>
      </c>
      <c r="AQ295" t="s">
        <v>9</v>
      </c>
      <c r="AR295" t="s">
        <v>9</v>
      </c>
      <c r="CZ295" t="s">
        <v>114</v>
      </c>
    </row>
    <row r="296" spans="1:104" x14ac:dyDescent="0.25">
      <c r="A296" t="s">
        <v>657</v>
      </c>
      <c r="B296" t="s">
        <v>515</v>
      </c>
      <c r="C296" t="s">
        <v>32</v>
      </c>
      <c r="D296" t="s">
        <v>3</v>
      </c>
      <c r="E296" t="s">
        <v>4</v>
      </c>
      <c r="F296" t="s">
        <v>5</v>
      </c>
      <c r="G296" t="s">
        <v>6</v>
      </c>
      <c r="H296" s="2">
        <v>2937.5</v>
      </c>
      <c r="I296" s="2">
        <v>2937.5</v>
      </c>
      <c r="J296" s="2">
        <v>0</v>
      </c>
      <c r="K296" s="2">
        <v>2937.5</v>
      </c>
      <c r="L296" t="s">
        <v>658</v>
      </c>
      <c r="M296" t="s">
        <v>8</v>
      </c>
      <c r="N296" t="s">
        <v>9</v>
      </c>
      <c r="O296" t="s">
        <v>9</v>
      </c>
      <c r="P296" t="s">
        <v>9</v>
      </c>
      <c r="Q296" t="s">
        <v>659</v>
      </c>
      <c r="R296" t="str">
        <f t="shared" si="5"/>
        <v>15000050000DIPIKA</v>
      </c>
      <c r="S296" t="e">
        <f>VLOOKUP(R296,[2]Sheet1!$R$2:$AX$20,33,0)</f>
        <v>#N/A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s="2">
        <v>0</v>
      </c>
      <c r="Z296" t="s">
        <v>9</v>
      </c>
      <c r="AA296" t="s">
        <v>9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t="s">
        <v>9</v>
      </c>
      <c r="AQ296" t="s">
        <v>9</v>
      </c>
      <c r="AR296" t="s">
        <v>9</v>
      </c>
      <c r="CZ296" t="s">
        <v>705</v>
      </c>
    </row>
    <row r="297" spans="1:104" x14ac:dyDescent="0.25">
      <c r="A297" t="s">
        <v>657</v>
      </c>
      <c r="B297" t="s">
        <v>516</v>
      </c>
      <c r="C297" t="s">
        <v>32</v>
      </c>
      <c r="D297" t="s">
        <v>3</v>
      </c>
      <c r="E297" t="s">
        <v>4</v>
      </c>
      <c r="F297" t="s">
        <v>5</v>
      </c>
      <c r="G297" t="s">
        <v>6</v>
      </c>
      <c r="H297" s="2">
        <v>1175</v>
      </c>
      <c r="I297" s="2">
        <v>1175</v>
      </c>
      <c r="J297" s="2">
        <v>0</v>
      </c>
      <c r="K297" s="2">
        <v>1175</v>
      </c>
      <c r="L297" t="s">
        <v>658</v>
      </c>
      <c r="M297" t="s">
        <v>8</v>
      </c>
      <c r="N297" t="s">
        <v>9</v>
      </c>
      <c r="O297" t="s">
        <v>9</v>
      </c>
      <c r="P297" t="s">
        <v>9</v>
      </c>
      <c r="Q297" t="s">
        <v>659</v>
      </c>
      <c r="R297" t="str">
        <f t="shared" si="5"/>
        <v>1500001300DIPIKA</v>
      </c>
      <c r="S297" t="e">
        <f>VLOOKUP(R297,[2]Sheet1!$R$2:$AX$20,33,0)</f>
        <v>#N/A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s="2">
        <v>0</v>
      </c>
      <c r="Z297" t="s">
        <v>9</v>
      </c>
      <c r="AA297" t="s">
        <v>9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t="s">
        <v>9</v>
      </c>
      <c r="AQ297" t="s">
        <v>9</v>
      </c>
      <c r="AR297" t="s">
        <v>9</v>
      </c>
      <c r="CZ297" t="s">
        <v>706</v>
      </c>
    </row>
    <row r="298" spans="1:104" x14ac:dyDescent="0.25">
      <c r="A298" t="s">
        <v>132</v>
      </c>
      <c r="B298" t="s">
        <v>513</v>
      </c>
      <c r="C298" t="s">
        <v>112</v>
      </c>
      <c r="D298" t="s">
        <v>3</v>
      </c>
      <c r="E298" t="s">
        <v>4</v>
      </c>
      <c r="F298" t="s">
        <v>5</v>
      </c>
      <c r="G298" t="s">
        <v>6</v>
      </c>
      <c r="H298" s="2">
        <v>1246</v>
      </c>
      <c r="I298" s="2">
        <v>1246</v>
      </c>
      <c r="J298" s="2">
        <v>0</v>
      </c>
      <c r="K298" s="2">
        <v>1246</v>
      </c>
      <c r="L298" t="s">
        <v>7</v>
      </c>
      <c r="M298" t="s">
        <v>8</v>
      </c>
      <c r="N298" t="s">
        <v>9</v>
      </c>
      <c r="O298" t="s">
        <v>9</v>
      </c>
      <c r="P298" t="s">
        <v>9</v>
      </c>
      <c r="Q298" t="s">
        <v>543</v>
      </c>
      <c r="R298" t="str">
        <f t="shared" si="5"/>
        <v>246000002DIPIKA</v>
      </c>
      <c r="S298" t="e">
        <f>VLOOKUP(R298,[2]Sheet1!$R$2:$AX$20,33,0)</f>
        <v>#N/A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s="2">
        <v>0</v>
      </c>
      <c r="Z298" t="s">
        <v>9</v>
      </c>
      <c r="AA298" t="s">
        <v>9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t="s">
        <v>9</v>
      </c>
      <c r="AQ298" t="s">
        <v>9</v>
      </c>
      <c r="AR298" t="s">
        <v>9</v>
      </c>
      <c r="CZ298" t="s">
        <v>123</v>
      </c>
    </row>
    <row r="299" spans="1:104" x14ac:dyDescent="0.25">
      <c r="A299" t="s">
        <v>132</v>
      </c>
      <c r="B299" t="s">
        <v>513</v>
      </c>
      <c r="C299" t="s">
        <v>54</v>
      </c>
      <c r="D299" t="s">
        <v>3</v>
      </c>
      <c r="E299" t="s">
        <v>4</v>
      </c>
      <c r="F299" t="s">
        <v>5</v>
      </c>
      <c r="G299" t="s">
        <v>6</v>
      </c>
      <c r="H299" s="2">
        <v>5000</v>
      </c>
      <c r="I299" s="2">
        <v>5000</v>
      </c>
      <c r="J299" s="2">
        <v>0</v>
      </c>
      <c r="K299" s="2">
        <v>5000</v>
      </c>
      <c r="L299" t="s">
        <v>7</v>
      </c>
      <c r="M299" t="s">
        <v>8</v>
      </c>
      <c r="N299" t="s">
        <v>9</v>
      </c>
      <c r="O299" t="s">
        <v>9</v>
      </c>
      <c r="P299" t="s">
        <v>9</v>
      </c>
      <c r="Q299" t="s">
        <v>10</v>
      </c>
      <c r="R299" t="str">
        <f t="shared" si="5"/>
        <v>24430000200000010DIPIKA</v>
      </c>
      <c r="S299" t="e">
        <f>VLOOKUP(R299,[2]Sheet1!$R$2:$AX$20,33,0)</f>
        <v>#N/A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s="2">
        <v>0</v>
      </c>
      <c r="Z299" t="s">
        <v>9</v>
      </c>
      <c r="AA299" t="s">
        <v>9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t="s">
        <v>9</v>
      </c>
      <c r="AQ299" t="s">
        <v>9</v>
      </c>
      <c r="AR299" t="s">
        <v>9</v>
      </c>
      <c r="CZ299" t="s">
        <v>707</v>
      </c>
    </row>
    <row r="300" spans="1:104" x14ac:dyDescent="0.25">
      <c r="A300" t="s">
        <v>132</v>
      </c>
      <c r="B300" t="s">
        <v>513</v>
      </c>
      <c r="C300" t="s">
        <v>32</v>
      </c>
      <c r="D300" t="s">
        <v>3</v>
      </c>
      <c r="E300" t="s">
        <v>4</v>
      </c>
      <c r="F300" t="s">
        <v>5</v>
      </c>
      <c r="G300" t="s">
        <v>6</v>
      </c>
      <c r="H300" s="2">
        <v>1000</v>
      </c>
      <c r="I300" s="2">
        <v>1000</v>
      </c>
      <c r="J300" s="2">
        <v>0</v>
      </c>
      <c r="K300" s="2">
        <v>1000</v>
      </c>
      <c r="L300" t="s">
        <v>7</v>
      </c>
      <c r="M300" t="s">
        <v>8</v>
      </c>
      <c r="N300" t="s">
        <v>660</v>
      </c>
      <c r="O300" t="s">
        <v>9</v>
      </c>
      <c r="P300" t="s">
        <v>9</v>
      </c>
      <c r="Q300" t="s">
        <v>10</v>
      </c>
      <c r="R300" t="str">
        <f t="shared" si="5"/>
        <v>244300003DIPIKA</v>
      </c>
      <c r="S300" t="e">
        <f>VLOOKUP(R300,[2]Sheet1!$R$2:$AX$20,33,0)</f>
        <v>#N/A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s="2">
        <v>0</v>
      </c>
      <c r="Z300" t="s">
        <v>9</v>
      </c>
      <c r="AA300" t="s">
        <v>9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t="s">
        <v>9</v>
      </c>
      <c r="AQ300" t="s">
        <v>9</v>
      </c>
      <c r="AR300" t="s">
        <v>9</v>
      </c>
      <c r="CZ300" t="s">
        <v>17</v>
      </c>
    </row>
    <row r="301" spans="1:104" x14ac:dyDescent="0.25">
      <c r="A301" t="s">
        <v>132</v>
      </c>
      <c r="B301" t="s">
        <v>515</v>
      </c>
      <c r="C301" t="s">
        <v>112</v>
      </c>
      <c r="D301" t="s">
        <v>3</v>
      </c>
      <c r="E301" t="s">
        <v>4</v>
      </c>
      <c r="F301" t="s">
        <v>5</v>
      </c>
      <c r="G301" t="s">
        <v>6</v>
      </c>
      <c r="H301" s="2">
        <v>12000</v>
      </c>
      <c r="I301" s="2">
        <v>12000</v>
      </c>
      <c r="J301" s="2">
        <v>0</v>
      </c>
      <c r="K301" s="2">
        <v>12000</v>
      </c>
      <c r="L301" t="s">
        <v>7</v>
      </c>
      <c r="M301" t="s">
        <v>8</v>
      </c>
      <c r="N301" t="s">
        <v>9</v>
      </c>
      <c r="O301" t="s">
        <v>9</v>
      </c>
      <c r="P301" t="s">
        <v>9</v>
      </c>
      <c r="Q301" t="s">
        <v>10</v>
      </c>
      <c r="R301" t="str">
        <f t="shared" si="5"/>
        <v>244300003DIPIKA</v>
      </c>
      <c r="S301" t="e">
        <f>VLOOKUP(R301,[2]Sheet1!$R$2:$AX$20,33,0)</f>
        <v>#N/A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s="2">
        <v>0</v>
      </c>
      <c r="Z301" t="s">
        <v>9</v>
      </c>
      <c r="AA301" t="s">
        <v>9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t="s">
        <v>9</v>
      </c>
      <c r="AQ301" t="s">
        <v>9</v>
      </c>
      <c r="AR301" t="s">
        <v>9</v>
      </c>
      <c r="CZ301" t="s">
        <v>17</v>
      </c>
    </row>
    <row r="302" spans="1:104" x14ac:dyDescent="0.25">
      <c r="A302" t="s">
        <v>132</v>
      </c>
      <c r="B302" t="s">
        <v>515</v>
      </c>
      <c r="C302" t="s">
        <v>54</v>
      </c>
      <c r="D302" t="s">
        <v>3</v>
      </c>
      <c r="E302" t="s">
        <v>4</v>
      </c>
      <c r="F302" t="s">
        <v>5</v>
      </c>
      <c r="G302" t="s">
        <v>6</v>
      </c>
      <c r="H302" s="2">
        <v>20000</v>
      </c>
      <c r="I302" s="2">
        <v>20000</v>
      </c>
      <c r="J302" s="2">
        <v>0</v>
      </c>
      <c r="K302" s="2">
        <v>20000</v>
      </c>
      <c r="L302" t="s">
        <v>7</v>
      </c>
      <c r="M302" t="s">
        <v>8</v>
      </c>
      <c r="N302" t="s">
        <v>9</v>
      </c>
      <c r="O302" t="s">
        <v>9</v>
      </c>
      <c r="P302" t="s">
        <v>9</v>
      </c>
      <c r="Q302" t="s">
        <v>543</v>
      </c>
      <c r="R302" t="str">
        <f t="shared" si="5"/>
        <v>2460000024DIPIKA</v>
      </c>
      <c r="S302" t="e">
        <f>VLOOKUP(R302,[2]Sheet1!$R$2:$AX$20,33,0)</f>
        <v>#N/A</v>
      </c>
      <c r="T302" t="s">
        <v>9</v>
      </c>
      <c r="U302" t="s">
        <v>9</v>
      </c>
      <c r="V302" t="s">
        <v>9</v>
      </c>
      <c r="W302" t="s">
        <v>9</v>
      </c>
      <c r="X302" t="s">
        <v>9</v>
      </c>
      <c r="Y302" s="2">
        <v>0</v>
      </c>
      <c r="Z302" t="s">
        <v>9</v>
      </c>
      <c r="AA302" t="s">
        <v>9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t="s">
        <v>9</v>
      </c>
      <c r="AQ302" t="s">
        <v>9</v>
      </c>
      <c r="AR302" t="s">
        <v>9</v>
      </c>
      <c r="CZ302" t="s">
        <v>708</v>
      </c>
    </row>
    <row r="303" spans="1:104" x14ac:dyDescent="0.25">
      <c r="A303" t="s">
        <v>132</v>
      </c>
      <c r="B303" t="s">
        <v>515</v>
      </c>
      <c r="C303" t="s">
        <v>32</v>
      </c>
      <c r="D303" t="s">
        <v>3</v>
      </c>
      <c r="E303" t="s">
        <v>4</v>
      </c>
      <c r="F303" t="s">
        <v>5</v>
      </c>
      <c r="G303" t="s">
        <v>6</v>
      </c>
      <c r="H303" s="2">
        <v>1000</v>
      </c>
      <c r="I303" s="2">
        <v>1000</v>
      </c>
      <c r="J303" s="2">
        <v>0</v>
      </c>
      <c r="K303" s="2">
        <v>1000</v>
      </c>
      <c r="L303" t="s">
        <v>7</v>
      </c>
      <c r="M303" t="s">
        <v>8</v>
      </c>
      <c r="N303" t="s">
        <v>9</v>
      </c>
      <c r="O303" t="s">
        <v>9</v>
      </c>
      <c r="P303" t="s">
        <v>9</v>
      </c>
      <c r="Q303" t="s">
        <v>10</v>
      </c>
      <c r="R303" t="str">
        <f t="shared" si="5"/>
        <v>244300003DIPIKA</v>
      </c>
      <c r="S303" t="e">
        <f>VLOOKUP(R303,[2]Sheet1!$R$2:$AX$20,33,0)</f>
        <v>#N/A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s="2">
        <v>0</v>
      </c>
      <c r="Z303" t="s">
        <v>9</v>
      </c>
      <c r="AA303" t="s">
        <v>9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t="s">
        <v>9</v>
      </c>
      <c r="AQ303" t="s">
        <v>9</v>
      </c>
      <c r="AR303" t="s">
        <v>9</v>
      </c>
      <c r="CZ303" t="s">
        <v>17</v>
      </c>
    </row>
    <row r="304" spans="1:104" x14ac:dyDescent="0.25">
      <c r="A304" t="s">
        <v>132</v>
      </c>
      <c r="B304" t="s">
        <v>516</v>
      </c>
      <c r="C304" t="s">
        <v>112</v>
      </c>
      <c r="D304" t="s">
        <v>3</v>
      </c>
      <c r="E304" t="s">
        <v>4</v>
      </c>
      <c r="F304" t="s">
        <v>5</v>
      </c>
      <c r="G304" t="s">
        <v>6</v>
      </c>
      <c r="H304" s="2">
        <v>2000</v>
      </c>
      <c r="I304" s="2">
        <v>2000</v>
      </c>
      <c r="J304" s="2">
        <v>0</v>
      </c>
      <c r="K304" s="2">
        <v>2000</v>
      </c>
      <c r="L304" t="s">
        <v>7</v>
      </c>
      <c r="M304" t="s">
        <v>8</v>
      </c>
      <c r="N304" t="s">
        <v>9</v>
      </c>
      <c r="O304" t="s">
        <v>9</v>
      </c>
      <c r="P304" t="s">
        <v>9</v>
      </c>
      <c r="Q304" t="s">
        <v>10</v>
      </c>
      <c r="R304" t="str">
        <f t="shared" si="5"/>
        <v>24430000200000012DIPIKA</v>
      </c>
      <c r="S304" t="e">
        <f>VLOOKUP(R304,[2]Sheet1!$R$2:$AX$20,33,0)</f>
        <v>#N/A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s="2">
        <v>0</v>
      </c>
      <c r="Z304" t="s">
        <v>9</v>
      </c>
      <c r="AA304" t="s">
        <v>9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t="s">
        <v>9</v>
      </c>
      <c r="AQ304" t="s">
        <v>9</v>
      </c>
      <c r="AR304" t="s">
        <v>9</v>
      </c>
      <c r="CZ304" t="s">
        <v>709</v>
      </c>
    </row>
    <row r="305" spans="1:104" x14ac:dyDescent="0.25">
      <c r="A305" t="s">
        <v>132</v>
      </c>
      <c r="B305" t="s">
        <v>516</v>
      </c>
      <c r="C305" t="s">
        <v>32</v>
      </c>
      <c r="D305" t="s">
        <v>3</v>
      </c>
      <c r="E305" t="s">
        <v>4</v>
      </c>
      <c r="F305" t="s">
        <v>5</v>
      </c>
      <c r="G305" t="s">
        <v>6</v>
      </c>
      <c r="H305" s="2">
        <v>2000</v>
      </c>
      <c r="I305" s="2">
        <v>2000</v>
      </c>
      <c r="J305" s="2">
        <v>0</v>
      </c>
      <c r="K305" s="2">
        <v>2000</v>
      </c>
      <c r="L305" t="s">
        <v>7</v>
      </c>
      <c r="M305" t="s">
        <v>8</v>
      </c>
      <c r="N305" t="s">
        <v>9</v>
      </c>
      <c r="O305" t="s">
        <v>9</v>
      </c>
      <c r="P305" t="s">
        <v>9</v>
      </c>
      <c r="Q305" t="s">
        <v>10</v>
      </c>
      <c r="R305" t="str">
        <f t="shared" si="5"/>
        <v>244300003DIPIKA</v>
      </c>
      <c r="S305" t="e">
        <f>VLOOKUP(R305,[2]Sheet1!$R$2:$AX$20,33,0)</f>
        <v>#N/A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s="2">
        <v>0</v>
      </c>
      <c r="Z305" t="s">
        <v>9</v>
      </c>
      <c r="AA305" t="s">
        <v>9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t="s">
        <v>9</v>
      </c>
      <c r="AQ305" t="s">
        <v>9</v>
      </c>
      <c r="AR305" t="s">
        <v>9</v>
      </c>
      <c r="CZ305" t="s">
        <v>17</v>
      </c>
    </row>
    <row r="306" spans="1:104" x14ac:dyDescent="0.25">
      <c r="A306" t="s">
        <v>132</v>
      </c>
      <c r="B306" t="s">
        <v>24</v>
      </c>
      <c r="C306" t="s">
        <v>112</v>
      </c>
      <c r="D306" t="s">
        <v>3</v>
      </c>
      <c r="E306" t="s">
        <v>4</v>
      </c>
      <c r="F306" t="s">
        <v>5</v>
      </c>
      <c r="G306" t="s">
        <v>6</v>
      </c>
      <c r="H306" s="2">
        <v>250</v>
      </c>
      <c r="I306" s="2">
        <v>250</v>
      </c>
      <c r="J306" s="2">
        <v>0</v>
      </c>
      <c r="K306" s="2">
        <v>250</v>
      </c>
      <c r="L306" t="s">
        <v>7</v>
      </c>
      <c r="M306" t="s">
        <v>9</v>
      </c>
      <c r="N306" t="s">
        <v>9</v>
      </c>
      <c r="O306" t="s">
        <v>9</v>
      </c>
      <c r="P306" t="s">
        <v>9</v>
      </c>
      <c r="Q306" t="s">
        <v>10</v>
      </c>
      <c r="R306" t="str">
        <f t="shared" si="5"/>
        <v>2443000012DIPIKA</v>
      </c>
      <c r="S306" t="e">
        <f>VLOOKUP(R306,[2]Sheet1!$R$2:$AX$20,33,0)</f>
        <v>#N/A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s="2">
        <v>0</v>
      </c>
      <c r="Z306" t="s">
        <v>9</v>
      </c>
      <c r="AA306" t="s">
        <v>9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t="s">
        <v>9</v>
      </c>
      <c r="AQ306" t="s">
        <v>9</v>
      </c>
      <c r="AR306" t="s">
        <v>9</v>
      </c>
      <c r="CZ306" t="s">
        <v>75</v>
      </c>
    </row>
    <row r="307" spans="1:104" x14ac:dyDescent="0.25">
      <c r="A307" t="s">
        <v>132</v>
      </c>
      <c r="B307" t="s">
        <v>519</v>
      </c>
      <c r="C307" t="s">
        <v>112</v>
      </c>
      <c r="D307" t="s">
        <v>3</v>
      </c>
      <c r="E307" t="s">
        <v>4</v>
      </c>
      <c r="F307" t="s">
        <v>5</v>
      </c>
      <c r="G307" t="s">
        <v>6</v>
      </c>
      <c r="H307" s="2">
        <v>2000</v>
      </c>
      <c r="I307" s="2">
        <v>2000</v>
      </c>
      <c r="J307" s="2">
        <v>0</v>
      </c>
      <c r="K307" s="2">
        <v>2000</v>
      </c>
      <c r="L307" t="s">
        <v>7</v>
      </c>
      <c r="M307" t="s">
        <v>8</v>
      </c>
      <c r="N307" t="s">
        <v>9</v>
      </c>
      <c r="O307" t="s">
        <v>9</v>
      </c>
      <c r="P307" t="s">
        <v>9</v>
      </c>
      <c r="Q307" t="s">
        <v>77</v>
      </c>
      <c r="R307" t="str">
        <f t="shared" si="5"/>
        <v>13150000400005DIPIKA</v>
      </c>
      <c r="S307" t="e">
        <f>VLOOKUP(R307,[2]Sheet1!$R$2:$AX$20,33,0)</f>
        <v>#N/A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s="2">
        <v>0</v>
      </c>
      <c r="Z307" t="s">
        <v>9</v>
      </c>
      <c r="AA307" t="s">
        <v>9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t="s">
        <v>9</v>
      </c>
      <c r="AQ307" t="s">
        <v>9</v>
      </c>
      <c r="AR307" t="s">
        <v>9</v>
      </c>
      <c r="CZ307" t="s">
        <v>710</v>
      </c>
    </row>
    <row r="308" spans="1:104" x14ac:dyDescent="0.25">
      <c r="A308" t="s">
        <v>132</v>
      </c>
      <c r="B308" t="s">
        <v>520</v>
      </c>
      <c r="C308" t="s">
        <v>112</v>
      </c>
      <c r="D308" t="s">
        <v>3</v>
      </c>
      <c r="E308" t="s">
        <v>4</v>
      </c>
      <c r="F308" t="s">
        <v>5</v>
      </c>
      <c r="G308" t="s">
        <v>6</v>
      </c>
      <c r="H308" s="2">
        <v>1000</v>
      </c>
      <c r="I308" s="2">
        <v>1000</v>
      </c>
      <c r="J308" s="2">
        <v>0</v>
      </c>
      <c r="K308" s="2">
        <v>1000</v>
      </c>
      <c r="L308" t="s">
        <v>7</v>
      </c>
      <c r="M308" t="s">
        <v>8</v>
      </c>
      <c r="N308" t="s">
        <v>9</v>
      </c>
      <c r="O308" t="s">
        <v>9</v>
      </c>
      <c r="P308" t="s">
        <v>9</v>
      </c>
      <c r="Q308" t="s">
        <v>10</v>
      </c>
      <c r="R308" t="str">
        <f t="shared" si="5"/>
        <v>24430000200000010DIPIKA</v>
      </c>
      <c r="S308" t="e">
        <f>VLOOKUP(R308,[2]Sheet1!$R$2:$AX$20,33,0)</f>
        <v>#N/A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s="2">
        <v>0</v>
      </c>
      <c r="Z308" t="s">
        <v>9</v>
      </c>
      <c r="AA308" t="s">
        <v>9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t="s">
        <v>9</v>
      </c>
      <c r="AQ308" t="s">
        <v>9</v>
      </c>
      <c r="AR308" t="s">
        <v>9</v>
      </c>
      <c r="CZ308" t="s">
        <v>707</v>
      </c>
    </row>
    <row r="309" spans="1:104" x14ac:dyDescent="0.25">
      <c r="A309" t="s">
        <v>132</v>
      </c>
      <c r="B309" t="s">
        <v>522</v>
      </c>
      <c r="C309" t="s">
        <v>112</v>
      </c>
      <c r="D309" t="s">
        <v>3</v>
      </c>
      <c r="E309" t="s">
        <v>4</v>
      </c>
      <c r="F309" t="s">
        <v>5</v>
      </c>
      <c r="G309" t="s">
        <v>6</v>
      </c>
      <c r="H309" s="2">
        <v>1500</v>
      </c>
      <c r="I309" s="2">
        <v>1500</v>
      </c>
      <c r="J309" s="2">
        <v>0</v>
      </c>
      <c r="K309" s="2">
        <v>1500</v>
      </c>
      <c r="L309" t="s">
        <v>7</v>
      </c>
      <c r="M309" t="s">
        <v>8</v>
      </c>
      <c r="N309" t="s">
        <v>9</v>
      </c>
      <c r="O309" t="s">
        <v>9</v>
      </c>
      <c r="P309" t="s">
        <v>9</v>
      </c>
      <c r="Q309" t="s">
        <v>10</v>
      </c>
      <c r="R309" t="str">
        <f t="shared" si="5"/>
        <v>24430000200000010DIPIKA</v>
      </c>
      <c r="S309" t="e">
        <f>VLOOKUP(R309,[2]Sheet1!$R$2:$AX$20,33,0)</f>
        <v>#N/A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s="2">
        <v>0</v>
      </c>
      <c r="Z309" t="s">
        <v>9</v>
      </c>
      <c r="AA309" t="s">
        <v>9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t="s">
        <v>9</v>
      </c>
      <c r="AQ309" t="s">
        <v>9</v>
      </c>
      <c r="AR309" t="s">
        <v>9</v>
      </c>
      <c r="CZ309" t="s">
        <v>707</v>
      </c>
    </row>
    <row r="310" spans="1:104" x14ac:dyDescent="0.25">
      <c r="A310" t="s">
        <v>132</v>
      </c>
      <c r="B310" t="s">
        <v>523</v>
      </c>
      <c r="C310" t="s">
        <v>112</v>
      </c>
      <c r="D310" t="s">
        <v>3</v>
      </c>
      <c r="E310" t="s">
        <v>4</v>
      </c>
      <c r="F310" t="s">
        <v>5</v>
      </c>
      <c r="G310" t="s">
        <v>6</v>
      </c>
      <c r="H310" s="2">
        <v>9000</v>
      </c>
      <c r="I310" s="2">
        <v>9000</v>
      </c>
      <c r="J310" s="2">
        <v>0</v>
      </c>
      <c r="K310" s="2">
        <v>9000</v>
      </c>
      <c r="L310" t="s">
        <v>7</v>
      </c>
      <c r="M310" t="s">
        <v>8</v>
      </c>
      <c r="N310" t="s">
        <v>9</v>
      </c>
      <c r="O310" t="s">
        <v>9</v>
      </c>
      <c r="P310" t="s">
        <v>9</v>
      </c>
      <c r="Q310" t="s">
        <v>10</v>
      </c>
      <c r="R310" t="str">
        <f t="shared" si="5"/>
        <v>24430000200000010DIPIKA</v>
      </c>
      <c r="S310" t="e">
        <f>VLOOKUP(R310,[2]Sheet1!$R$2:$AX$20,33,0)</f>
        <v>#N/A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s="2">
        <v>0</v>
      </c>
      <c r="Z310" t="s">
        <v>9</v>
      </c>
      <c r="AA310" t="s">
        <v>9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t="s">
        <v>9</v>
      </c>
      <c r="AQ310" t="s">
        <v>9</v>
      </c>
      <c r="AR310" t="s">
        <v>9</v>
      </c>
      <c r="CZ310" t="s">
        <v>707</v>
      </c>
    </row>
    <row r="311" spans="1:104" x14ac:dyDescent="0.25">
      <c r="A311" t="s">
        <v>132</v>
      </c>
      <c r="B311" t="s">
        <v>524</v>
      </c>
      <c r="C311" t="s">
        <v>112</v>
      </c>
      <c r="D311" t="s">
        <v>3</v>
      </c>
      <c r="E311" t="s">
        <v>4</v>
      </c>
      <c r="F311" t="s">
        <v>5</v>
      </c>
      <c r="G311" t="s">
        <v>6</v>
      </c>
      <c r="H311" s="2">
        <v>4000</v>
      </c>
      <c r="I311" s="2">
        <v>4000</v>
      </c>
      <c r="J311" s="2">
        <v>0</v>
      </c>
      <c r="K311" s="2">
        <v>4000</v>
      </c>
      <c r="L311" t="s">
        <v>7</v>
      </c>
      <c r="M311" t="s">
        <v>8</v>
      </c>
      <c r="N311" t="s">
        <v>9</v>
      </c>
      <c r="O311" t="s">
        <v>9</v>
      </c>
      <c r="P311" t="s">
        <v>9</v>
      </c>
      <c r="Q311" t="s">
        <v>10</v>
      </c>
      <c r="R311" t="str">
        <f t="shared" si="5"/>
        <v>24430000200000010DIPIKA</v>
      </c>
      <c r="S311" t="e">
        <f>VLOOKUP(R311,[2]Sheet1!$R$2:$AX$20,33,0)</f>
        <v>#N/A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s="2">
        <v>0</v>
      </c>
      <c r="Z311" t="s">
        <v>9</v>
      </c>
      <c r="AA311" t="s">
        <v>9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t="s">
        <v>9</v>
      </c>
      <c r="AQ311" t="s">
        <v>9</v>
      </c>
      <c r="AR311" t="s">
        <v>9</v>
      </c>
      <c r="CZ311" t="s">
        <v>707</v>
      </c>
    </row>
    <row r="312" spans="1:104" x14ac:dyDescent="0.25">
      <c r="A312" t="s">
        <v>132</v>
      </c>
      <c r="B312" t="s">
        <v>525</v>
      </c>
      <c r="C312" t="s">
        <v>112</v>
      </c>
      <c r="D312" t="s">
        <v>3</v>
      </c>
      <c r="E312" t="s">
        <v>4</v>
      </c>
      <c r="F312" t="s">
        <v>5</v>
      </c>
      <c r="G312" t="s">
        <v>6</v>
      </c>
      <c r="H312" s="2">
        <v>7000</v>
      </c>
      <c r="I312" s="2">
        <v>7000</v>
      </c>
      <c r="J312" s="2">
        <v>0</v>
      </c>
      <c r="K312" s="2">
        <v>7000</v>
      </c>
      <c r="L312" t="s">
        <v>7</v>
      </c>
      <c r="M312" t="s">
        <v>8</v>
      </c>
      <c r="N312" t="s">
        <v>9</v>
      </c>
      <c r="O312" t="s">
        <v>9</v>
      </c>
      <c r="P312" t="s">
        <v>9</v>
      </c>
      <c r="Q312" t="s">
        <v>10</v>
      </c>
      <c r="R312" t="str">
        <f t="shared" si="5"/>
        <v>24430000200000010DIPIKA</v>
      </c>
      <c r="S312" t="e">
        <f>VLOOKUP(R312,[2]Sheet1!$R$2:$AX$20,33,0)</f>
        <v>#N/A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s="2">
        <v>0</v>
      </c>
      <c r="Z312" t="s">
        <v>9</v>
      </c>
      <c r="AA312" t="s">
        <v>9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t="s">
        <v>9</v>
      </c>
      <c r="AQ312" t="s">
        <v>9</v>
      </c>
      <c r="AR312" t="s">
        <v>9</v>
      </c>
      <c r="CZ312" t="s">
        <v>707</v>
      </c>
    </row>
    <row r="313" spans="1:104" x14ac:dyDescent="0.25">
      <c r="A313" t="s">
        <v>661</v>
      </c>
      <c r="B313" t="s">
        <v>513</v>
      </c>
      <c r="C313" t="s">
        <v>112</v>
      </c>
      <c r="D313" t="s">
        <v>3</v>
      </c>
      <c r="E313" t="s">
        <v>4</v>
      </c>
      <c r="F313" t="s">
        <v>5</v>
      </c>
      <c r="G313" t="s">
        <v>6</v>
      </c>
      <c r="H313" s="2">
        <v>30000</v>
      </c>
      <c r="I313" s="2">
        <v>30000</v>
      </c>
      <c r="J313" s="2">
        <v>0</v>
      </c>
      <c r="K313" s="2">
        <v>30000</v>
      </c>
      <c r="L313" t="s">
        <v>7</v>
      </c>
      <c r="M313" t="s">
        <v>8</v>
      </c>
      <c r="N313" t="s">
        <v>9</v>
      </c>
      <c r="O313" t="s">
        <v>9</v>
      </c>
      <c r="P313" t="s">
        <v>9</v>
      </c>
      <c r="Q313" t="s">
        <v>662</v>
      </c>
      <c r="R313" t="str">
        <f t="shared" si="5"/>
        <v>40120000499998DIPIKA</v>
      </c>
      <c r="S313" t="e">
        <f>VLOOKUP(R313,[2]Sheet1!$R$2:$AX$20,33,0)</f>
        <v>#N/A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s="2">
        <v>0</v>
      </c>
      <c r="Z313" t="s">
        <v>9</v>
      </c>
      <c r="AA313" t="s">
        <v>9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t="s">
        <v>9</v>
      </c>
      <c r="AQ313" t="s">
        <v>9</v>
      </c>
      <c r="AR313" t="s">
        <v>9</v>
      </c>
      <c r="CZ313" t="s">
        <v>711</v>
      </c>
    </row>
    <row r="314" spans="1:104" x14ac:dyDescent="0.25">
      <c r="A314" t="s">
        <v>661</v>
      </c>
      <c r="B314" t="s">
        <v>515</v>
      </c>
      <c r="C314" t="s">
        <v>112</v>
      </c>
      <c r="D314" t="s">
        <v>3</v>
      </c>
      <c r="E314" t="s">
        <v>4</v>
      </c>
      <c r="F314" t="s">
        <v>5</v>
      </c>
      <c r="G314" t="s">
        <v>6</v>
      </c>
      <c r="H314" s="2">
        <v>30000</v>
      </c>
      <c r="I314" s="2">
        <v>30000</v>
      </c>
      <c r="J314" s="2">
        <v>0</v>
      </c>
      <c r="K314" s="2">
        <v>30000</v>
      </c>
      <c r="L314" t="s">
        <v>7</v>
      </c>
      <c r="M314" t="s">
        <v>8</v>
      </c>
      <c r="N314" t="s">
        <v>9</v>
      </c>
      <c r="O314" t="s">
        <v>9</v>
      </c>
      <c r="P314" t="s">
        <v>9</v>
      </c>
      <c r="Q314" t="s">
        <v>662</v>
      </c>
      <c r="R314" t="str">
        <f t="shared" si="5"/>
        <v>40120000499998DIPIKA</v>
      </c>
      <c r="S314" t="e">
        <f>VLOOKUP(R314,[2]Sheet1!$R$2:$AX$20,33,0)</f>
        <v>#N/A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s="2">
        <v>0</v>
      </c>
      <c r="Z314" t="s">
        <v>9</v>
      </c>
      <c r="AA314" t="s">
        <v>9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t="s">
        <v>9</v>
      </c>
      <c r="AQ314" t="s">
        <v>9</v>
      </c>
      <c r="AR314" t="s">
        <v>9</v>
      </c>
      <c r="CZ314" t="s">
        <v>711</v>
      </c>
    </row>
    <row r="315" spans="1:104" x14ac:dyDescent="0.25">
      <c r="A315" t="s">
        <v>661</v>
      </c>
      <c r="B315" t="s">
        <v>516</v>
      </c>
      <c r="C315" t="s">
        <v>112</v>
      </c>
      <c r="D315" t="s">
        <v>3</v>
      </c>
      <c r="E315" t="s">
        <v>4</v>
      </c>
      <c r="F315" t="s">
        <v>5</v>
      </c>
      <c r="G315" t="s">
        <v>6</v>
      </c>
      <c r="H315" s="2">
        <v>100</v>
      </c>
      <c r="I315" s="2">
        <v>100</v>
      </c>
      <c r="J315" s="2">
        <v>0</v>
      </c>
      <c r="K315" s="2">
        <v>100</v>
      </c>
      <c r="L315" t="s">
        <v>7</v>
      </c>
      <c r="M315" t="s">
        <v>8</v>
      </c>
      <c r="N315" t="s">
        <v>9</v>
      </c>
      <c r="O315" t="s">
        <v>9</v>
      </c>
      <c r="P315" t="s">
        <v>9</v>
      </c>
      <c r="Q315" t="s">
        <v>543</v>
      </c>
      <c r="R315" t="str">
        <f t="shared" si="5"/>
        <v>24600000200000042DIPIKA</v>
      </c>
      <c r="S315" t="e">
        <f>VLOOKUP(R315,[2]Sheet1!$R$2:$AX$20,33,0)</f>
        <v>#N/A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s="2">
        <v>0</v>
      </c>
      <c r="Z315" t="s">
        <v>9</v>
      </c>
      <c r="AA315" t="s">
        <v>9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t="s">
        <v>9</v>
      </c>
      <c r="AQ315" t="s">
        <v>9</v>
      </c>
      <c r="AR315" t="s">
        <v>9</v>
      </c>
      <c r="CZ315" t="s">
        <v>712</v>
      </c>
    </row>
    <row r="316" spans="1:104" x14ac:dyDescent="0.25">
      <c r="A316" t="s">
        <v>663</v>
      </c>
      <c r="B316" t="s">
        <v>515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2000</v>
      </c>
      <c r="I316" s="2">
        <v>2000</v>
      </c>
      <c r="J316" s="2">
        <v>0</v>
      </c>
      <c r="K316" s="2">
        <v>2000</v>
      </c>
      <c r="L316" t="s">
        <v>664</v>
      </c>
      <c r="M316" t="s">
        <v>8</v>
      </c>
      <c r="N316" t="s">
        <v>9</v>
      </c>
      <c r="O316" t="s">
        <v>9</v>
      </c>
      <c r="P316" t="s">
        <v>9</v>
      </c>
      <c r="Q316" t="s">
        <v>665</v>
      </c>
      <c r="R316" t="str">
        <f t="shared" si="5"/>
        <v>111004000010DIPIKA</v>
      </c>
      <c r="S316" t="e">
        <f>VLOOKUP(R316,[2]Sheet1!$R$2:$AX$20,33,0)</f>
        <v>#N/A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s="2">
        <v>0</v>
      </c>
      <c r="Z316" t="s">
        <v>9</v>
      </c>
      <c r="AA316" t="s">
        <v>9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t="s">
        <v>9</v>
      </c>
      <c r="AQ316" t="s">
        <v>9</v>
      </c>
      <c r="AR316" t="s">
        <v>9</v>
      </c>
      <c r="CZ316" t="s">
        <v>713</v>
      </c>
    </row>
    <row r="317" spans="1:104" x14ac:dyDescent="0.25">
      <c r="A317" t="s">
        <v>666</v>
      </c>
      <c r="B317" t="s">
        <v>513</v>
      </c>
      <c r="C317" t="s">
        <v>32</v>
      </c>
      <c r="D317" t="s">
        <v>3</v>
      </c>
      <c r="E317" t="s">
        <v>4</v>
      </c>
      <c r="F317" t="s">
        <v>5</v>
      </c>
      <c r="G317" t="s">
        <v>6</v>
      </c>
      <c r="H317" s="2">
        <v>1200</v>
      </c>
      <c r="I317" s="2">
        <v>1200</v>
      </c>
      <c r="J317" s="2">
        <v>0</v>
      </c>
      <c r="K317" s="2">
        <v>1200</v>
      </c>
      <c r="L317" t="s">
        <v>7</v>
      </c>
      <c r="M317" t="s">
        <v>8</v>
      </c>
      <c r="N317" t="s">
        <v>9</v>
      </c>
      <c r="O317" t="s">
        <v>9</v>
      </c>
      <c r="P317" t="s">
        <v>9</v>
      </c>
      <c r="Q317" t="s">
        <v>667</v>
      </c>
      <c r="R317" t="str">
        <f t="shared" si="5"/>
        <v>10000003110000000DIPIKA</v>
      </c>
      <c r="S317" t="e">
        <f>VLOOKUP(R317,[2]Sheet1!$R$2:$AX$20,33,0)</f>
        <v>#N/A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s="2">
        <v>0</v>
      </c>
      <c r="Z317" t="s">
        <v>9</v>
      </c>
      <c r="AA317" t="s">
        <v>9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t="s">
        <v>9</v>
      </c>
      <c r="AQ317" t="s">
        <v>9</v>
      </c>
      <c r="AR317" t="s">
        <v>9</v>
      </c>
      <c r="CZ317" t="s">
        <v>714</v>
      </c>
    </row>
  </sheetData>
  <phoneticPr fontId="0" type="noConversion"/>
  <pageMargins left="0.75" right="0.75" top="1" bottom="1" header="0.5" footer="0.5"/>
  <pageSetup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Yash A Gandhi</cp:lastModifiedBy>
  <cp:revision>1</cp:revision>
  <dcterms:modified xsi:type="dcterms:W3CDTF">2023-07-19T04:32:25Z</dcterms:modified>
  <cp:category/>
</cp:coreProperties>
</file>